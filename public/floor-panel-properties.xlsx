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igma/Downloads/"/>
    </mc:Choice>
  </mc:AlternateContent>
  <xr:revisionPtr revIDLastSave="0" documentId="13_ncr:1_{95400085-E33F-9945-972C-C3C86C87E744}" xr6:coauthVersionLast="47" xr6:coauthVersionMax="47" xr10:uidLastSave="{00000000-0000-0000-0000-000000000000}"/>
  <bookViews>
    <workbookView xWindow="0" yWindow="600" windowWidth="28800" windowHeight="15860" xr2:uid="{92F548D5-2C20-A44C-B7AA-39155EE5DBC5}"/>
  </bookViews>
  <sheets>
    <sheet name="Panel Properties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77" i="1" l="1"/>
  <c r="H74" i="1"/>
  <c r="H75" i="1"/>
  <c r="H76" i="1"/>
  <c r="H77" i="1"/>
  <c r="H73" i="1"/>
  <c r="E74" i="1"/>
  <c r="E76" i="1"/>
  <c r="AM75" i="1"/>
  <c r="AL77" i="1"/>
  <c r="AL75" i="1"/>
  <c r="AK77" i="1"/>
  <c r="F76" i="1" s="1"/>
  <c r="AK75" i="1"/>
  <c r="F74" i="1" s="1"/>
  <c r="AH75" i="1"/>
  <c r="I74" i="1" s="1"/>
  <c r="AH77" i="1"/>
  <c r="I76" i="1" s="1"/>
  <c r="D74" i="1"/>
  <c r="D75" i="1"/>
  <c r="D76" i="1"/>
  <c r="D77" i="1"/>
  <c r="D73" i="1"/>
  <c r="AA46" i="1"/>
  <c r="AA45" i="1"/>
  <c r="AA44" i="1"/>
  <c r="AF44" i="1" s="1"/>
  <c r="AA43" i="1"/>
  <c r="Z76" i="1"/>
  <c r="AB76" i="1" s="1"/>
  <c r="AH76" i="1" s="1"/>
  <c r="I75" i="1" s="1"/>
  <c r="Z75" i="1"/>
  <c r="AB75" i="1" s="1"/>
  <c r="Z77" i="1"/>
  <c r="AB77" i="1" s="1"/>
  <c r="AF77" i="1" s="1"/>
  <c r="Z78" i="1"/>
  <c r="AB78" i="1" s="1"/>
  <c r="Z74" i="1"/>
  <c r="AB74" i="1"/>
  <c r="AE69" i="1"/>
  <c r="AC78" i="1"/>
  <c r="AD44" i="1"/>
  <c r="AA78" i="1" s="1"/>
  <c r="C77" i="1" s="1"/>
  <c r="AM73" i="1"/>
  <c r="AL73" i="1"/>
  <c r="AK73" i="1"/>
  <c r="AJ73" i="1"/>
  <c r="AF73" i="1"/>
  <c r="AE73" i="1"/>
  <c r="AC73" i="1"/>
  <c r="AA73" i="1"/>
  <c r="AA70" i="1"/>
  <c r="AA69" i="1"/>
  <c r="G74" i="1" l="1"/>
  <c r="J74" i="1"/>
  <c r="G76" i="1"/>
  <c r="J76" i="1"/>
  <c r="AD75" i="1"/>
  <c r="AF75" i="1"/>
  <c r="AC77" i="1"/>
  <c r="AF43" i="1"/>
  <c r="AF78" i="1" s="1"/>
  <c r="AD45" i="1"/>
  <c r="AF45" i="1"/>
  <c r="AF46" i="1"/>
  <c r="AD78" i="1"/>
  <c r="AD77" i="1"/>
  <c r="AE78" i="1" l="1"/>
  <c r="AA58" i="1"/>
  <c r="AA57" i="1"/>
  <c r="AA56" i="1"/>
  <c r="C48" i="1" s="1"/>
  <c r="AA55" i="1"/>
  <c r="C47" i="1" s="1"/>
  <c r="AE57" i="1"/>
  <c r="AE56" i="1"/>
  <c r="H48" i="1" s="1"/>
  <c r="AF51" i="1"/>
  <c r="AE51" i="1"/>
  <c r="AC51" i="1"/>
  <c r="AA51" i="1"/>
  <c r="AB46" i="1"/>
  <c r="AB45" i="1"/>
  <c r="AB44" i="1"/>
  <c r="AB43" i="1"/>
  <c r="AA42" i="1"/>
  <c r="AE46" i="1"/>
  <c r="AC58" i="1" s="1"/>
  <c r="AA41" i="1"/>
  <c r="AA40" i="1"/>
  <c r="AC46" i="1"/>
  <c r="AD46" i="1" s="1"/>
  <c r="AE58" i="1" s="1"/>
  <c r="AE44" i="1"/>
  <c r="AC56" i="1" s="1"/>
  <c r="F48" i="1" s="1"/>
  <c r="AE39" i="1"/>
  <c r="AD39" i="1"/>
  <c r="AB39" i="1"/>
  <c r="AA39" i="1"/>
  <c r="AF40" i="1" l="1"/>
  <c r="AC74" i="1"/>
  <c r="AD43" i="1"/>
  <c r="AD40" i="1"/>
  <c r="AA52" i="1"/>
  <c r="C44" i="1" s="1"/>
  <c r="AB40" i="1"/>
  <c r="AF41" i="1"/>
  <c r="AF74" i="1" s="1"/>
  <c r="AC75" i="1"/>
  <c r="AD74" i="1" s="1"/>
  <c r="AD41" i="1"/>
  <c r="AA53" i="1"/>
  <c r="C45" i="1" s="1"/>
  <c r="AB41" i="1"/>
  <c r="AF42" i="1"/>
  <c r="AF76" i="1" s="1"/>
  <c r="AC76" i="1"/>
  <c r="AD42" i="1"/>
  <c r="AA54" i="1"/>
  <c r="C46" i="1" s="1"/>
  <c r="AB42" i="1"/>
  <c r="AF58" i="1"/>
  <c r="AF56" i="1"/>
  <c r="J48" i="1" s="1"/>
  <c r="AE45" i="1"/>
  <c r="AC57" i="1" s="1"/>
  <c r="AF57" i="1" s="1"/>
  <c r="AE42" i="1"/>
  <c r="AC54" i="1" s="1"/>
  <c r="F46" i="1" s="1"/>
  <c r="AE43" i="1"/>
  <c r="AC55" i="1" s="1"/>
  <c r="F47" i="1" s="1"/>
  <c r="AE41" i="1"/>
  <c r="AC53" i="1" s="1"/>
  <c r="F45" i="1" s="1"/>
  <c r="AE40" i="1"/>
  <c r="AC52" i="1" s="1"/>
  <c r="F44" i="1" s="1"/>
  <c r="AD76" i="1" l="1"/>
  <c r="AA76" i="1"/>
  <c r="C75" i="1" s="1"/>
  <c r="AE54" i="1"/>
  <c r="H46" i="1" s="1"/>
  <c r="AE76" i="1"/>
  <c r="AA75" i="1"/>
  <c r="AE53" i="1"/>
  <c r="H45" i="1" s="1"/>
  <c r="AA74" i="1"/>
  <c r="AE52" i="1"/>
  <c r="H44" i="1" s="1"/>
  <c r="AA77" i="1"/>
  <c r="AE55" i="1"/>
  <c r="H47" i="1" s="1"/>
  <c r="AF53" i="1"/>
  <c r="J45" i="1" s="1"/>
  <c r="AF55" i="1"/>
  <c r="J47" i="1" s="1"/>
  <c r="AF52" i="1"/>
  <c r="J44" i="1" s="1"/>
  <c r="AF54" i="1"/>
  <c r="J46" i="1" s="1"/>
  <c r="AH74" i="1" l="1"/>
  <c r="AH78" i="1"/>
  <c r="I77" i="1" s="1"/>
  <c r="AE77" i="1"/>
  <c r="C76" i="1"/>
  <c r="AE74" i="1"/>
  <c r="C73" i="1"/>
  <c r="AE75" i="1"/>
  <c r="C74" i="1"/>
  <c r="AF59" i="1"/>
  <c r="J49" i="1" s="1"/>
  <c r="H53" i="1" s="1"/>
  <c r="I73" i="1" l="1"/>
  <c r="AJ76" i="1"/>
  <c r="E75" i="1" l="1"/>
  <c r="AL76" i="1"/>
  <c r="AK76" i="1"/>
  <c r="AJ78" i="1"/>
  <c r="AJ74" i="1"/>
  <c r="G75" i="1" l="1"/>
  <c r="J75" i="1"/>
  <c r="E73" i="1"/>
  <c r="AL74" i="1"/>
  <c r="AK74" i="1"/>
  <c r="E77" i="1"/>
  <c r="AL78" i="1"/>
  <c r="AK78" i="1"/>
  <c r="F75" i="1"/>
  <c r="AM76" i="1"/>
  <c r="G77" i="1" l="1"/>
  <c r="J77" i="1"/>
  <c r="G73" i="1"/>
  <c r="J73" i="1"/>
  <c r="F77" i="1"/>
  <c r="AM78" i="1"/>
  <c r="F73" i="1"/>
  <c r="AM74" i="1"/>
  <c r="AM79" i="1" l="1"/>
  <c r="J78" i="1" l="1"/>
  <c r="H81" i="1"/>
</calcChain>
</file>

<file path=xl/sharedStrings.xml><?xml version="1.0" encoding="utf-8"?>
<sst xmlns="http://schemas.openxmlformats.org/spreadsheetml/2006/main" count="134" uniqueCount="91">
  <si>
    <t>Properties</t>
  </si>
  <si>
    <t>Grade List</t>
  </si>
  <si>
    <t>E</t>
  </si>
  <si>
    <t>E_90</t>
  </si>
  <si>
    <t>G</t>
  </si>
  <si>
    <t>G_90</t>
  </si>
  <si>
    <t>Grade</t>
  </si>
  <si>
    <t>Total Layers</t>
  </si>
  <si>
    <t>Thickness Each Layer</t>
  </si>
  <si>
    <t>Length</t>
  </si>
  <si>
    <t>m</t>
  </si>
  <si>
    <t>MGP10</t>
  </si>
  <si>
    <t>MGP12</t>
  </si>
  <si>
    <t>Analytical Method</t>
  </si>
  <si>
    <t>Shear Analogy</t>
  </si>
  <si>
    <r>
      <t>b</t>
    </r>
    <r>
      <rPr>
        <sz val="8"/>
        <color theme="1"/>
        <rFont val="Aptos Narrow (Body)"/>
      </rPr>
      <t>eff</t>
    </r>
  </si>
  <si>
    <t>mm</t>
  </si>
  <si>
    <t>Gamma</t>
  </si>
  <si>
    <t>Effective Flexural Stiffness: XX-direction</t>
  </si>
  <si>
    <t>SECTION PROPERTIES</t>
  </si>
  <si>
    <t>[-]</t>
  </si>
  <si>
    <r>
      <t>t</t>
    </r>
    <r>
      <rPr>
        <b/>
        <vertAlign val="subscript"/>
        <sz val="10"/>
        <color theme="1"/>
        <rFont val="Open Sans"/>
        <family val="2"/>
      </rPr>
      <t>i</t>
    </r>
    <r>
      <rPr>
        <b/>
        <sz val="10"/>
        <color theme="1"/>
        <rFont val="Open Sans"/>
        <family val="2"/>
      </rPr>
      <t xml:space="preserve"> </t>
    </r>
  </si>
  <si>
    <r>
      <t>y</t>
    </r>
    <r>
      <rPr>
        <b/>
        <vertAlign val="subscript"/>
        <sz val="10"/>
        <color theme="1"/>
        <rFont val="Open Sans"/>
        <family val="2"/>
      </rPr>
      <t>i</t>
    </r>
    <r>
      <rPr>
        <b/>
        <sz val="10"/>
        <color theme="1"/>
        <rFont val="Open Sans"/>
        <family val="2"/>
      </rPr>
      <t xml:space="preserve"> </t>
    </r>
  </si>
  <si>
    <r>
      <t>θ</t>
    </r>
    <r>
      <rPr>
        <b/>
        <vertAlign val="subscript"/>
        <sz val="10"/>
        <color theme="1"/>
        <rFont val="Open Sans"/>
        <family val="2"/>
      </rPr>
      <t>i</t>
    </r>
    <r>
      <rPr>
        <b/>
        <sz val="10"/>
        <color theme="1"/>
        <rFont val="Open Sans"/>
        <family val="2"/>
      </rPr>
      <t xml:space="preserve"> (°)</t>
    </r>
  </si>
  <si>
    <r>
      <t>E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>,</t>
    </r>
    <r>
      <rPr>
        <b/>
        <vertAlign val="subscript"/>
        <sz val="14"/>
        <color theme="1"/>
        <rFont val="Open Sans"/>
        <family val="2"/>
      </rPr>
      <t>XX</t>
    </r>
    <r>
      <rPr>
        <b/>
        <sz val="10"/>
        <color theme="1"/>
        <rFont val="Open Sans"/>
        <family val="2"/>
      </rPr>
      <t xml:space="preserve"> </t>
    </r>
  </si>
  <si>
    <r>
      <t>h</t>
    </r>
    <r>
      <rPr>
        <b/>
        <vertAlign val="subscript"/>
        <sz val="10"/>
        <color theme="1"/>
        <rFont val="Open Sans"/>
        <family val="2"/>
      </rPr>
      <t>i</t>
    </r>
    <r>
      <rPr>
        <b/>
        <sz val="10"/>
        <color theme="1"/>
        <rFont val="Open Sans"/>
        <family val="2"/>
      </rPr>
      <t xml:space="preserve"> </t>
    </r>
  </si>
  <si>
    <t>Gi</t>
  </si>
  <si>
    <t>proHolz Vol1,Section 4.1.3</t>
  </si>
  <si>
    <t>Mpa</t>
  </si>
  <si>
    <t>T1</t>
  </si>
  <si>
    <t>T2</t>
  </si>
  <si>
    <t>beff ti3/12</t>
  </si>
  <si>
    <t>beff ti ai2</t>
  </si>
  <si>
    <t>Ei,XX</t>
  </si>
  <si>
    <r>
      <t>E</t>
    </r>
    <r>
      <rPr>
        <b/>
        <vertAlign val="subscript"/>
        <sz val="12"/>
        <color theme="1"/>
        <rFont val="Open Sans"/>
        <family val="2"/>
      </rPr>
      <t>i</t>
    </r>
    <r>
      <rPr>
        <b/>
        <sz val="12"/>
        <color theme="1"/>
        <rFont val="Open Sans"/>
        <family val="2"/>
      </rPr>
      <t>I</t>
    </r>
    <r>
      <rPr>
        <b/>
        <vertAlign val="subscript"/>
        <sz val="12"/>
        <color theme="1"/>
        <rFont val="Open Sans"/>
        <family val="2"/>
      </rPr>
      <t>i</t>
    </r>
    <r>
      <rPr>
        <b/>
        <sz val="12"/>
        <color theme="1"/>
        <rFont val="Open Sans"/>
        <family val="2"/>
      </rPr>
      <t xml:space="preserve"> </t>
    </r>
  </si>
  <si>
    <t>T3</t>
  </si>
  <si>
    <t>mm⁴</t>
  </si>
  <si>
    <t xml:space="preserve">N-mm²/m </t>
  </si>
  <si>
    <t>T4</t>
  </si>
  <si>
    <t>Layer 1</t>
  </si>
  <si>
    <t>T5</t>
  </si>
  <si>
    <t>Layer 2</t>
  </si>
  <si>
    <t>T6</t>
  </si>
  <si>
    <t>Layer 3</t>
  </si>
  <si>
    <t>T7</t>
  </si>
  <si>
    <t>Layer 4</t>
  </si>
  <si>
    <t>Layer 5</t>
  </si>
  <si>
    <r>
      <t>SE</t>
    </r>
    <r>
      <rPr>
        <vertAlign val="subscript"/>
        <sz val="11"/>
        <color theme="1"/>
        <rFont val="Open Sans"/>
        <family val="2"/>
      </rPr>
      <t>i</t>
    </r>
    <r>
      <rPr>
        <sz val="11"/>
        <color theme="1"/>
        <rFont val="Open Sans"/>
        <family val="2"/>
      </rPr>
      <t>I</t>
    </r>
    <r>
      <rPr>
        <vertAlign val="subscript"/>
        <sz val="11"/>
        <color theme="1"/>
        <rFont val="Open Sans"/>
        <family val="2"/>
      </rPr>
      <t>i  XX</t>
    </r>
  </si>
  <si>
    <t>Shear Analogy Method</t>
  </si>
  <si>
    <r>
      <t>b</t>
    </r>
    <r>
      <rPr>
        <b/>
        <vertAlign val="subscript"/>
        <sz val="10"/>
        <color theme="1"/>
        <rFont val="Open Sans"/>
        <family val="2"/>
      </rPr>
      <t>eff</t>
    </r>
    <r>
      <rPr>
        <b/>
        <sz val="10"/>
        <color theme="1"/>
        <rFont val="Open Sans"/>
        <family val="2"/>
      </rPr>
      <t xml:space="preserve"> t</t>
    </r>
    <r>
      <rPr>
        <b/>
        <vertAlign val="subscript"/>
        <sz val="10"/>
        <color theme="1"/>
        <rFont val="Open Sans"/>
        <family val="2"/>
      </rPr>
      <t>i</t>
    </r>
    <r>
      <rPr>
        <b/>
        <vertAlign val="superscript"/>
        <sz val="10"/>
        <color theme="1"/>
        <rFont val="Open Sans"/>
        <family val="2"/>
      </rPr>
      <t>3</t>
    </r>
    <r>
      <rPr>
        <b/>
        <sz val="10"/>
        <color theme="1"/>
        <rFont val="Open Sans"/>
        <family val="2"/>
      </rPr>
      <t xml:space="preserve">/12 </t>
    </r>
  </si>
  <si>
    <r>
      <t>b</t>
    </r>
    <r>
      <rPr>
        <b/>
        <vertAlign val="subscript"/>
        <sz val="10"/>
        <color theme="1"/>
        <rFont val="Open Sans"/>
        <family val="2"/>
      </rPr>
      <t>eff</t>
    </r>
    <r>
      <rPr>
        <b/>
        <sz val="10"/>
        <color theme="1"/>
        <rFont val="Open Sans"/>
        <family val="2"/>
      </rPr>
      <t xml:space="preserve"> t</t>
    </r>
    <r>
      <rPr>
        <b/>
        <vertAlign val="subscript"/>
        <sz val="10"/>
        <color theme="1"/>
        <rFont val="Open Sans"/>
        <family val="2"/>
      </rPr>
      <t xml:space="preserve">i </t>
    </r>
    <r>
      <rPr>
        <b/>
        <sz val="10"/>
        <color theme="1"/>
        <rFont val="Open Sans"/>
        <family val="2"/>
      </rPr>
      <t>h</t>
    </r>
    <r>
      <rPr>
        <b/>
        <vertAlign val="subscript"/>
        <sz val="10"/>
        <color theme="1"/>
        <rFont val="Open Sans"/>
        <family val="2"/>
      </rPr>
      <t>i</t>
    </r>
    <r>
      <rPr>
        <b/>
        <vertAlign val="superscript"/>
        <sz val="10"/>
        <color theme="1"/>
        <rFont val="Open Sans"/>
        <family val="2"/>
      </rPr>
      <t>2</t>
    </r>
    <r>
      <rPr>
        <b/>
        <sz val="10"/>
        <color theme="1"/>
        <rFont val="Open Sans"/>
        <family val="2"/>
      </rPr>
      <t xml:space="preserve"> </t>
    </r>
  </si>
  <si>
    <r>
      <t>E</t>
    </r>
    <r>
      <rPr>
        <b/>
        <vertAlign val="subscript"/>
        <sz val="10"/>
        <color theme="1"/>
        <rFont val="Open Sans"/>
        <family val="2"/>
      </rPr>
      <t>i,XX</t>
    </r>
    <r>
      <rPr>
        <b/>
        <sz val="10"/>
        <color theme="1"/>
        <rFont val="Open Sans"/>
        <family val="2"/>
      </rPr>
      <t xml:space="preserve"> </t>
    </r>
  </si>
  <si>
    <r>
      <t>E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>I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 xml:space="preserve"> </t>
    </r>
  </si>
  <si>
    <t>Bending Stiffness Properties of CLT</t>
  </si>
  <si>
    <r>
      <t xml:space="preserve">EI </t>
    </r>
    <r>
      <rPr>
        <b/>
        <vertAlign val="subscript"/>
        <sz val="11"/>
        <color theme="1"/>
        <rFont val="Open Sans"/>
        <family val="2"/>
      </rPr>
      <t xml:space="preserve">eff </t>
    </r>
  </si>
  <si>
    <t>EI eff</t>
  </si>
  <si>
    <t>Bending Stiffness</t>
  </si>
  <si>
    <r>
      <t>SE</t>
    </r>
    <r>
      <rPr>
        <b/>
        <vertAlign val="subscript"/>
        <sz val="11"/>
        <color theme="1"/>
        <rFont val="Open Sans"/>
        <family val="2"/>
      </rPr>
      <t>i</t>
    </r>
    <r>
      <rPr>
        <b/>
        <sz val="11"/>
        <color theme="1"/>
        <rFont val="Open Sans"/>
        <family val="2"/>
      </rPr>
      <t>I</t>
    </r>
    <r>
      <rPr>
        <b/>
        <vertAlign val="subscript"/>
        <sz val="11"/>
        <color theme="1"/>
        <rFont val="Open Sans"/>
        <family val="2"/>
      </rPr>
      <t>i  XX</t>
    </r>
  </si>
  <si>
    <t>Gamma Method</t>
  </si>
  <si>
    <t>proHolz Vol1,Section 4.2</t>
  </si>
  <si>
    <t>Eff. Layers</t>
  </si>
  <si>
    <t>beff</t>
  </si>
  <si>
    <r>
      <t>L</t>
    </r>
    <r>
      <rPr>
        <b/>
        <vertAlign val="subscript"/>
        <sz val="14"/>
        <color rgb="FF000000"/>
        <rFont val="Open Sans"/>
        <family val="2"/>
        <charset val="1"/>
      </rPr>
      <t>ref</t>
    </r>
  </si>
  <si>
    <t>Ei</t>
  </si>
  <si>
    <t>ai (label)</t>
  </si>
  <si>
    <t>ai</t>
  </si>
  <si>
    <r>
      <t>b</t>
    </r>
    <r>
      <rPr>
        <b/>
        <vertAlign val="subscript"/>
        <sz val="12"/>
        <color theme="1"/>
        <rFont val="Open Sans"/>
        <family val="2"/>
      </rPr>
      <t>eff</t>
    </r>
    <r>
      <rPr>
        <b/>
        <sz val="12"/>
        <color theme="1"/>
        <rFont val="Open Sans"/>
        <family val="2"/>
      </rPr>
      <t xml:space="preserve"> t</t>
    </r>
    <r>
      <rPr>
        <b/>
        <vertAlign val="subscript"/>
        <sz val="12"/>
        <color theme="1"/>
        <rFont val="Open Sans"/>
        <family val="2"/>
      </rPr>
      <t>i</t>
    </r>
    <r>
      <rPr>
        <b/>
        <vertAlign val="superscript"/>
        <sz val="12"/>
        <color theme="1"/>
        <rFont val="Open Sans"/>
        <family val="2"/>
      </rPr>
      <t>3</t>
    </r>
    <r>
      <rPr>
        <b/>
        <sz val="12"/>
        <color theme="1"/>
        <rFont val="Open Sans"/>
        <family val="2"/>
      </rPr>
      <t xml:space="preserve">/12 </t>
    </r>
  </si>
  <si>
    <r>
      <t>b</t>
    </r>
    <r>
      <rPr>
        <b/>
        <vertAlign val="subscript"/>
        <sz val="10"/>
        <color theme="1"/>
        <rFont val="Open Sans"/>
        <family val="2"/>
      </rPr>
      <t>eff</t>
    </r>
    <r>
      <rPr>
        <b/>
        <sz val="10"/>
        <color theme="1"/>
        <rFont val="Open Sans"/>
        <family val="2"/>
      </rPr>
      <t xml:space="preserve"> t</t>
    </r>
    <r>
      <rPr>
        <b/>
        <vertAlign val="subscript"/>
        <sz val="10"/>
        <color theme="1"/>
        <rFont val="Open Sans"/>
        <family val="2"/>
      </rPr>
      <t xml:space="preserve">i </t>
    </r>
    <r>
      <rPr>
        <b/>
        <sz val="10"/>
        <color theme="1"/>
        <rFont val="Open Sans"/>
        <family val="2"/>
      </rPr>
      <t>a</t>
    </r>
    <r>
      <rPr>
        <b/>
        <vertAlign val="subscript"/>
        <sz val="10"/>
        <color theme="1"/>
        <rFont val="Open Sans"/>
        <family val="2"/>
      </rPr>
      <t>i</t>
    </r>
    <r>
      <rPr>
        <b/>
        <vertAlign val="superscript"/>
        <sz val="10"/>
        <color theme="1"/>
        <rFont val="Open Sans"/>
        <family val="2"/>
      </rPr>
      <t>2</t>
    </r>
    <r>
      <rPr>
        <b/>
        <sz val="10"/>
        <color theme="1"/>
        <rFont val="Open Sans"/>
        <family val="2"/>
      </rPr>
      <t xml:space="preserve"> </t>
    </r>
  </si>
  <si>
    <r>
      <t>g</t>
    </r>
    <r>
      <rPr>
        <b/>
        <vertAlign val="subscript"/>
        <sz val="14"/>
        <color theme="1"/>
        <rFont val="Open Sans"/>
        <family val="2"/>
      </rPr>
      <t xml:space="preserve">i </t>
    </r>
    <r>
      <rPr>
        <b/>
        <sz val="14"/>
        <color theme="1"/>
        <rFont val="Open Sans"/>
        <family val="2"/>
      </rPr>
      <t>(</t>
    </r>
    <r>
      <rPr>
        <b/>
        <i/>
        <sz val="12"/>
        <color theme="1"/>
        <rFont val="Open Sans"/>
        <family val="2"/>
      </rPr>
      <t>label</t>
    </r>
    <r>
      <rPr>
        <b/>
        <sz val="14"/>
        <color theme="1"/>
        <rFont val="Open Sans"/>
        <family val="2"/>
      </rPr>
      <t>)</t>
    </r>
  </si>
  <si>
    <r>
      <t>g</t>
    </r>
    <r>
      <rPr>
        <b/>
        <vertAlign val="subscript"/>
        <sz val="14"/>
        <color theme="1"/>
        <rFont val="Open Sans"/>
        <family val="2"/>
      </rPr>
      <t xml:space="preserve">i </t>
    </r>
    <r>
      <rPr>
        <b/>
        <sz val="14"/>
        <color theme="1"/>
        <rFont val="Open Sans"/>
        <family val="2"/>
      </rPr>
      <t>(</t>
    </r>
    <r>
      <rPr>
        <b/>
        <i/>
        <sz val="12"/>
        <color theme="1"/>
        <rFont val="Open Sans"/>
        <family val="2"/>
      </rPr>
      <t>-</t>
    </r>
    <r>
      <rPr>
        <b/>
        <sz val="14"/>
        <color theme="1"/>
        <rFont val="Open Sans"/>
        <family val="2"/>
      </rPr>
      <t>)</t>
    </r>
  </si>
  <si>
    <t xml:space="preserve">EiIi eff𝛾  </t>
  </si>
  <si>
    <r>
      <t>d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 xml:space="preserve"> (</t>
    </r>
    <r>
      <rPr>
        <b/>
        <i/>
        <sz val="12"/>
        <color theme="1"/>
        <rFont val="Open Sans"/>
        <family val="2"/>
      </rPr>
      <t>label</t>
    </r>
    <r>
      <rPr>
        <b/>
        <sz val="14"/>
        <color theme="1"/>
        <rFont val="Open Sans"/>
        <family val="2"/>
      </rPr>
      <t>)</t>
    </r>
  </si>
  <si>
    <r>
      <t>d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 xml:space="preserve"> </t>
    </r>
  </si>
  <si>
    <r>
      <t>b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>/d</t>
    </r>
    <r>
      <rPr>
        <b/>
        <vertAlign val="subscript"/>
        <sz val="14"/>
        <color theme="1"/>
        <rFont val="Open Sans"/>
        <family val="2"/>
      </rPr>
      <t>i,i+1</t>
    </r>
    <r>
      <rPr>
        <b/>
        <sz val="14"/>
        <color theme="1"/>
        <rFont val="Open Sans"/>
        <family val="2"/>
      </rPr>
      <t xml:space="preserve"> (-)</t>
    </r>
  </si>
  <si>
    <r>
      <t>A</t>
    </r>
    <r>
      <rPr>
        <b/>
        <vertAlign val="subscript"/>
        <sz val="14"/>
        <color theme="1"/>
        <rFont val="Open Sans"/>
        <family val="2"/>
      </rPr>
      <t>i</t>
    </r>
    <r>
      <rPr>
        <b/>
        <sz val="14"/>
        <color theme="1"/>
        <rFont val="Open Sans"/>
        <family val="2"/>
      </rPr>
      <t xml:space="preserve"> </t>
    </r>
  </si>
  <si>
    <r>
      <t>G</t>
    </r>
    <r>
      <rPr>
        <b/>
        <vertAlign val="subscript"/>
        <sz val="14"/>
        <color theme="1"/>
        <rFont val="Open Sans"/>
        <family val="2"/>
      </rPr>
      <t>R,i,i+1</t>
    </r>
    <r>
      <rPr>
        <b/>
        <sz val="14"/>
        <color theme="1"/>
        <rFont val="Open Sans"/>
        <family val="2"/>
      </rPr>
      <t xml:space="preserve"> </t>
    </r>
  </si>
  <si>
    <r>
      <t>a</t>
    </r>
    <r>
      <rPr>
        <b/>
        <vertAlign val="subscript"/>
        <sz val="14"/>
        <color theme="1"/>
        <rFont val="Open Sans"/>
        <family val="2"/>
      </rPr>
      <t xml:space="preserve">i </t>
    </r>
    <r>
      <rPr>
        <b/>
        <sz val="14"/>
        <color theme="1"/>
        <rFont val="Open Sans"/>
        <family val="2"/>
      </rPr>
      <t>(</t>
    </r>
    <r>
      <rPr>
        <b/>
        <i/>
        <sz val="12"/>
        <color theme="1"/>
        <rFont val="Open Sans"/>
        <family val="2"/>
      </rPr>
      <t>label</t>
    </r>
    <r>
      <rPr>
        <b/>
        <sz val="14"/>
        <color theme="1"/>
        <rFont val="Open Sans"/>
        <family val="2"/>
      </rPr>
      <t>)</t>
    </r>
  </si>
  <si>
    <r>
      <t>a</t>
    </r>
    <r>
      <rPr>
        <b/>
        <vertAlign val="subscript"/>
        <sz val="14"/>
        <color theme="1"/>
        <rFont val="Open Sans"/>
        <family val="2"/>
      </rPr>
      <t xml:space="preserve">i </t>
    </r>
  </si>
  <si>
    <r>
      <t xml:space="preserve">EI </t>
    </r>
    <r>
      <rPr>
        <b/>
        <vertAlign val="subscript"/>
        <sz val="14"/>
        <color theme="1"/>
        <rFont val="Open Sans"/>
        <family val="2"/>
      </rPr>
      <t xml:space="preserve">eff </t>
    </r>
  </si>
  <si>
    <r>
      <t>g</t>
    </r>
    <r>
      <rPr>
        <vertAlign val="subscript"/>
        <sz val="14"/>
        <color theme="1"/>
        <rFont val="Open Sans"/>
        <family val="2"/>
      </rPr>
      <t>1</t>
    </r>
  </si>
  <si>
    <r>
      <t>a</t>
    </r>
    <r>
      <rPr>
        <vertAlign val="subscript"/>
        <sz val="14"/>
        <color theme="1"/>
        <rFont val="Open Sans"/>
        <family val="2"/>
      </rPr>
      <t>1</t>
    </r>
  </si>
  <si>
    <t>-</t>
  </si>
  <si>
    <r>
      <t>g</t>
    </r>
    <r>
      <rPr>
        <vertAlign val="subscript"/>
        <sz val="14"/>
        <color theme="1"/>
        <rFont val="Open Sans"/>
        <family val="2"/>
      </rPr>
      <t>2</t>
    </r>
  </si>
  <si>
    <r>
      <t>a</t>
    </r>
    <r>
      <rPr>
        <vertAlign val="subscript"/>
        <sz val="14"/>
        <color theme="1"/>
        <rFont val="Open Sans"/>
        <family val="2"/>
      </rPr>
      <t>2</t>
    </r>
  </si>
  <si>
    <t xml:space="preserve">SEiIi𝛾 </t>
  </si>
  <si>
    <r>
      <t>g</t>
    </r>
    <r>
      <rPr>
        <vertAlign val="subscript"/>
        <sz val="14"/>
        <color theme="1"/>
        <rFont val="Open Sans"/>
        <family val="2"/>
      </rPr>
      <t>3</t>
    </r>
  </si>
  <si>
    <r>
      <t>a</t>
    </r>
    <r>
      <rPr>
        <vertAlign val="subscript"/>
        <sz val="14"/>
        <color theme="1"/>
        <rFont val="Open Sans"/>
        <family val="2"/>
      </rPr>
      <t>3</t>
    </r>
  </si>
  <si>
    <t>SEIeff</t>
  </si>
  <si>
    <t>Bending Stiffness Properties</t>
  </si>
  <si>
    <r>
      <rPr>
        <b/>
        <sz val="11"/>
        <color rgb="FF000000"/>
        <rFont val="Open Sans"/>
      </rPr>
      <t xml:space="preserve">EI </t>
    </r>
    <r>
      <rPr>
        <b/>
        <vertAlign val="subscript"/>
        <sz val="11"/>
        <color rgb="FF000000"/>
        <rFont val="Open Sans"/>
      </rPr>
      <t>eff</t>
    </r>
  </si>
  <si>
    <t>(EI)eff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</si>
</sst>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E+00"/>
    <numFmt numFmtId="165" formatCode="0.0"/>
    <numFmt numFmtId="166" formatCode="0.000000E+00"/>
    <numFmt numFmtId="167" formatCode="0.000E+00"/>
    <numFmt numFmtId="168" formatCode="0.000"/>
    <numFmt numFmtId="169" formatCode="0.0E+00"/>
  </numFmts>
  <fonts count="39" x14ac:knownFonts="1">
    <font>
      <sz val="12"/>
      <color theme="1"/>
      <name val="Aptos Narrow"/>
      <family val="2"/>
      <scheme val="minor"/>
    </font>
    <font>
      <sz val="8"/>
      <color theme="1"/>
      <name val="Aptos Narrow (Body)"/>
    </font>
    <font>
      <sz val="11"/>
      <color theme="1"/>
      <name val="Aptos Narrow"/>
      <family val="2"/>
      <scheme val="minor"/>
    </font>
    <font>
      <b/>
      <sz val="12"/>
      <color theme="1"/>
      <name val="Open Sans"/>
      <family val="2"/>
    </font>
    <font>
      <b/>
      <vertAlign val="subscript"/>
      <sz val="12"/>
      <color theme="1"/>
      <name val="Open Sans"/>
      <family val="2"/>
    </font>
    <font>
      <sz val="11"/>
      <color theme="1"/>
      <name val="Open Sans"/>
      <family val="2"/>
    </font>
    <font>
      <sz val="12"/>
      <color theme="1"/>
      <name val="Open Sans"/>
      <family val="2"/>
    </font>
    <font>
      <sz val="12"/>
      <name val="Open Sans"/>
      <family val="2"/>
    </font>
    <font>
      <sz val="14"/>
      <color theme="1"/>
      <name val="Open Sans"/>
      <family val="2"/>
    </font>
    <font>
      <b/>
      <sz val="14"/>
      <color theme="1"/>
      <name val="Open Sans"/>
      <family val="2"/>
    </font>
    <font>
      <b/>
      <vertAlign val="subscript"/>
      <sz val="10"/>
      <color theme="1"/>
      <name val="Open Sans"/>
      <family val="2"/>
    </font>
    <font>
      <b/>
      <sz val="10"/>
      <color theme="1"/>
      <name val="Open Sans"/>
      <family val="2"/>
    </font>
    <font>
      <b/>
      <vertAlign val="subscript"/>
      <sz val="14"/>
      <color theme="1"/>
      <name val="Open Sans"/>
      <family val="2"/>
    </font>
    <font>
      <b/>
      <vertAlign val="superscript"/>
      <sz val="10"/>
      <color theme="1"/>
      <name val="Open Sans"/>
      <family val="2"/>
    </font>
    <font>
      <sz val="11"/>
      <name val="Open Sans"/>
      <family val="2"/>
    </font>
    <font>
      <b/>
      <sz val="11"/>
      <color theme="1"/>
      <name val="Open Sans"/>
      <family val="2"/>
    </font>
    <font>
      <b/>
      <vertAlign val="subscript"/>
      <sz val="11"/>
      <color theme="1"/>
      <name val="Open Sans"/>
      <family val="2"/>
    </font>
    <font>
      <b/>
      <u/>
      <sz val="14"/>
      <color theme="1"/>
      <name val="Open Sans"/>
      <family val="2"/>
    </font>
    <font>
      <vertAlign val="subscript"/>
      <sz val="11"/>
      <color theme="1"/>
      <name val="Open Sans"/>
      <family val="2"/>
    </font>
    <font>
      <u/>
      <sz val="12"/>
      <color theme="1"/>
      <name val="Open Sans"/>
      <family val="2"/>
    </font>
    <font>
      <b/>
      <u/>
      <sz val="11"/>
      <color theme="1"/>
      <name val="Open Sans"/>
      <family val="2"/>
    </font>
    <font>
      <b/>
      <sz val="16"/>
      <color theme="1"/>
      <name val="Aptos Narrow"/>
      <scheme val="minor"/>
    </font>
    <font>
      <i/>
      <sz val="12"/>
      <color rgb="FFA5A5A5"/>
      <name val="Open Sans"/>
      <family val="2"/>
    </font>
    <font>
      <b/>
      <i/>
      <sz val="12"/>
      <color theme="1"/>
      <name val="Open Sans"/>
      <family val="2"/>
    </font>
    <font>
      <b/>
      <vertAlign val="superscript"/>
      <sz val="12"/>
      <color theme="1"/>
      <name val="Open Sans"/>
      <family val="2"/>
    </font>
    <font>
      <b/>
      <sz val="14"/>
      <color rgb="FF000000"/>
      <name val="Open Sans"/>
      <family val="2"/>
      <charset val="1"/>
    </font>
    <font>
      <sz val="11"/>
      <color rgb="FF000000"/>
      <name val="Open Sans"/>
      <family val="2"/>
      <charset val="1"/>
    </font>
    <font>
      <b/>
      <vertAlign val="subscript"/>
      <sz val="14"/>
      <color rgb="FF000000"/>
      <name val="Open Sans"/>
      <family val="2"/>
      <charset val="1"/>
    </font>
    <font>
      <vertAlign val="subscript"/>
      <sz val="14"/>
      <color theme="1"/>
      <name val="Open Sans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Open Sans"/>
    </font>
    <font>
      <sz val="11"/>
      <name val="Open Sans"/>
      <family val="2"/>
      <charset val="1"/>
    </font>
    <font>
      <b/>
      <sz val="11"/>
      <color rgb="FF000000"/>
      <name val="Open Sans"/>
      <family val="2"/>
      <charset val="1"/>
    </font>
    <font>
      <b/>
      <u/>
      <sz val="12"/>
      <color rgb="FF000000"/>
      <name val="Open Sans"/>
      <family val="2"/>
      <charset val="1"/>
    </font>
    <font>
      <sz val="12"/>
      <name val="Open Sans"/>
      <family val="2"/>
      <charset val="1"/>
    </font>
    <font>
      <b/>
      <sz val="12"/>
      <color rgb="FF000000"/>
      <name val="Open Sans"/>
      <family val="2"/>
      <charset val="1"/>
    </font>
    <font>
      <sz val="12"/>
      <color rgb="FF000000"/>
      <name val="Open Sans"/>
      <family val="2"/>
      <charset val="1"/>
    </font>
    <font>
      <b/>
      <vertAlign val="subscript"/>
      <sz val="11"/>
      <color rgb="FF000000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46E782"/>
        <bgColor rgb="FF46E683"/>
      </patternFill>
    </fill>
    <fill>
      <patternFill patternType="solid">
        <fgColor theme="0"/>
        <bgColor indexed="64"/>
      </patternFill>
    </fill>
    <fill>
      <patternFill patternType="solid">
        <fgColor rgb="FF46E7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46E683"/>
        <bgColor rgb="FF46E683"/>
      </patternFill>
    </fill>
    <fill>
      <patternFill patternType="solid">
        <fgColor rgb="FF45E88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46E782"/>
        <bgColor rgb="FF000000"/>
      </patternFill>
    </fill>
    <fill>
      <patternFill patternType="solid">
        <fgColor rgb="FFFFFFFF"/>
        <bgColor rgb="FF46E683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9" fillId="0" borderId="0"/>
  </cellStyleXfs>
  <cellXfs count="155">
    <xf numFmtId="0" fontId="0" fillId="0" borderId="0" xfId="0"/>
    <xf numFmtId="0" fontId="0" fillId="0" borderId="1" xfId="0" applyBorder="1"/>
    <xf numFmtId="0" fontId="3" fillId="2" borderId="1" xfId="1" applyFont="1" applyFill="1" applyBorder="1" applyAlignment="1">
      <alignment horizontal="left" vertical="center"/>
    </xf>
    <xf numFmtId="0" fontId="5" fillId="3" borderId="1" xfId="1" applyFont="1" applyFill="1" applyBorder="1"/>
    <xf numFmtId="0" fontId="6" fillId="5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8" fillId="3" borderId="5" xfId="1" applyFont="1" applyFill="1" applyBorder="1"/>
    <xf numFmtId="0" fontId="8" fillId="3" borderId="6" xfId="1" applyFont="1" applyFill="1" applyBorder="1"/>
    <xf numFmtId="0" fontId="8" fillId="0" borderId="0" xfId="1" applyFont="1"/>
    <xf numFmtId="165" fontId="8" fillId="0" borderId="0" xfId="1" applyNumberFormat="1" applyFont="1"/>
    <xf numFmtId="0" fontId="8" fillId="3" borderId="1" xfId="1" applyFont="1" applyFill="1" applyBorder="1"/>
    <xf numFmtId="165" fontId="8" fillId="8" borderId="1" xfId="1" applyNumberFormat="1" applyFont="1" applyFill="1" applyBorder="1"/>
    <xf numFmtId="165" fontId="8" fillId="3" borderId="1" xfId="1" applyNumberFormat="1" applyFont="1" applyFill="1" applyBorder="1"/>
    <xf numFmtId="0" fontId="8" fillId="9" borderId="4" xfId="1" applyFont="1" applyFill="1" applyBorder="1" applyAlignment="1">
      <alignment horizontal="left"/>
    </xf>
    <xf numFmtId="0" fontId="9" fillId="9" borderId="8" xfId="1" applyFont="1" applyFill="1" applyBorder="1"/>
    <xf numFmtId="0" fontId="9" fillId="9" borderId="10" xfId="1" applyFont="1" applyFill="1" applyBorder="1"/>
    <xf numFmtId="0" fontId="6" fillId="9" borderId="1" xfId="1" applyFont="1" applyFill="1" applyBorder="1" applyAlignment="1">
      <alignment horizontal="left"/>
    </xf>
    <xf numFmtId="1" fontId="8" fillId="7" borderId="11" xfId="1" applyNumberFormat="1" applyFont="1" applyFill="1" applyBorder="1" applyAlignment="1">
      <alignment horizontal="center"/>
    </xf>
    <xf numFmtId="11" fontId="8" fillId="7" borderId="1" xfId="1" applyNumberFormat="1" applyFont="1" applyFill="1" applyBorder="1" applyAlignment="1">
      <alignment horizontal="center"/>
    </xf>
    <xf numFmtId="1" fontId="8" fillId="7" borderId="13" xfId="1" applyNumberFormat="1" applyFont="1" applyFill="1" applyBorder="1" applyAlignment="1">
      <alignment horizontal="center"/>
    </xf>
    <xf numFmtId="0" fontId="15" fillId="3" borderId="0" xfId="1" applyFont="1" applyFill="1" applyAlignment="1">
      <alignment horizontal="right"/>
    </xf>
    <xf numFmtId="0" fontId="5" fillId="0" borderId="0" xfId="1" applyFont="1"/>
    <xf numFmtId="0" fontId="7" fillId="3" borderId="0" xfId="2" applyFont="1" applyFill="1" applyAlignment="1">
      <alignment vertical="center"/>
    </xf>
    <xf numFmtId="0" fontId="21" fillId="0" borderId="0" xfId="0" applyFont="1"/>
    <xf numFmtId="0" fontId="22" fillId="0" borderId="0" xfId="1" applyFont="1" applyAlignment="1">
      <alignment horizontal="right"/>
    </xf>
    <xf numFmtId="0" fontId="3" fillId="2" borderId="1" xfId="1" applyFont="1" applyFill="1" applyBorder="1"/>
    <xf numFmtId="0" fontId="9" fillId="2" borderId="1" xfId="1" applyFont="1" applyFill="1" applyBorder="1"/>
    <xf numFmtId="0" fontId="9" fillId="0" borderId="0" xfId="1" applyFont="1"/>
    <xf numFmtId="0" fontId="0" fillId="10" borderId="1" xfId="0" applyFill="1" applyBorder="1"/>
    <xf numFmtId="0" fontId="25" fillId="9" borderId="13" xfId="0" applyFont="1" applyFill="1" applyBorder="1"/>
    <xf numFmtId="1" fontId="26" fillId="11" borderId="2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6" fillId="0" borderId="0" xfId="0" applyFont="1"/>
    <xf numFmtId="0" fontId="25" fillId="9" borderId="11" xfId="0" applyFont="1" applyFill="1" applyBorder="1"/>
    <xf numFmtId="1" fontId="26" fillId="11" borderId="16" xfId="0" applyNumberFormat="1" applyFont="1" applyFill="1" applyBorder="1" applyAlignment="1">
      <alignment horizontal="center" vertical="center"/>
    </xf>
    <xf numFmtId="0" fontId="26" fillId="12" borderId="17" xfId="0" applyFont="1" applyFill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9" fillId="9" borderId="4" xfId="1" applyFont="1" applyFill="1" applyBorder="1"/>
    <xf numFmtId="0" fontId="9" fillId="9" borderId="18" xfId="1" applyFont="1" applyFill="1" applyBorder="1"/>
    <xf numFmtId="0" fontId="8" fillId="9" borderId="1" xfId="1" applyFont="1" applyFill="1" applyBorder="1" applyAlignment="1">
      <alignment horizontal="left"/>
    </xf>
    <xf numFmtId="1" fontId="6" fillId="9" borderId="1" xfId="1" applyNumberFormat="1" applyFont="1" applyFill="1" applyBorder="1" applyAlignment="1">
      <alignment horizontal="left"/>
    </xf>
    <xf numFmtId="1" fontId="8" fillId="7" borderId="16" xfId="1" applyNumberFormat="1" applyFont="1" applyFill="1" applyBorder="1" applyAlignment="1">
      <alignment horizontal="center"/>
    </xf>
    <xf numFmtId="165" fontId="8" fillId="7" borderId="17" xfId="1" applyNumberFormat="1" applyFont="1" applyFill="1" applyBorder="1" applyAlignment="1">
      <alignment horizontal="center"/>
    </xf>
    <xf numFmtId="0" fontId="14" fillId="3" borderId="19" xfId="1" applyFont="1" applyFill="1" applyBorder="1" applyAlignment="1">
      <alignment horizontal="center" vertical="center"/>
    </xf>
    <xf numFmtId="165" fontId="8" fillId="3" borderId="16" xfId="1" applyNumberFormat="1" applyFont="1" applyFill="1" applyBorder="1" applyAlignment="1">
      <alignment horizontal="center"/>
    </xf>
    <xf numFmtId="2" fontId="8" fillId="3" borderId="12" xfId="1" applyNumberFormat="1" applyFont="1" applyFill="1" applyBorder="1" applyAlignment="1">
      <alignment horizontal="center" vertical="center"/>
    </xf>
    <xf numFmtId="1" fontId="8" fillId="7" borderId="5" xfId="1" applyNumberFormat="1" applyFont="1" applyFill="1" applyBorder="1" applyAlignment="1">
      <alignment horizontal="center"/>
    </xf>
    <xf numFmtId="168" fontId="8" fillId="3" borderId="16" xfId="3" applyNumberFormat="1" applyFont="1" applyFill="1" applyBorder="1" applyAlignment="1">
      <alignment horizontal="center"/>
    </xf>
    <xf numFmtId="11" fontId="8" fillId="7" borderId="5" xfId="1" applyNumberFormat="1" applyFont="1" applyFill="1" applyBorder="1" applyAlignment="1">
      <alignment horizontal="center"/>
    </xf>
    <xf numFmtId="165" fontId="8" fillId="7" borderId="5" xfId="1" applyNumberFormat="1" applyFont="1" applyFill="1" applyBorder="1" applyAlignment="1">
      <alignment horizontal="center"/>
    </xf>
    <xf numFmtId="169" fontId="8" fillId="3" borderId="20" xfId="1" applyNumberFormat="1" applyFont="1" applyFill="1" applyBorder="1" applyAlignment="1">
      <alignment horizontal="center"/>
    </xf>
    <xf numFmtId="1" fontId="8" fillId="7" borderId="1" xfId="1" applyNumberFormat="1" applyFont="1" applyFill="1" applyBorder="1" applyAlignment="1">
      <alignment horizontal="center"/>
    </xf>
    <xf numFmtId="165" fontId="8" fillId="3" borderId="1" xfId="1" applyNumberFormat="1" applyFont="1" applyFill="1" applyBorder="1" applyAlignment="1">
      <alignment horizontal="center"/>
    </xf>
    <xf numFmtId="2" fontId="8" fillId="3" borderId="14" xfId="1" applyNumberFormat="1" applyFont="1" applyFill="1" applyBorder="1" applyAlignment="1">
      <alignment horizontal="center" vertical="center"/>
    </xf>
    <xf numFmtId="1" fontId="8" fillId="7" borderId="6" xfId="1" applyNumberFormat="1" applyFont="1" applyFill="1" applyBorder="1" applyAlignment="1">
      <alignment horizontal="center"/>
    </xf>
    <xf numFmtId="11" fontId="8" fillId="7" borderId="6" xfId="1" applyNumberFormat="1" applyFont="1" applyFill="1" applyBorder="1" applyAlignment="1">
      <alignment horizontal="center"/>
    </xf>
    <xf numFmtId="165" fontId="8" fillId="7" borderId="6" xfId="1" applyNumberFormat="1" applyFont="1" applyFill="1" applyBorder="1" applyAlignment="1">
      <alignment horizontal="center"/>
    </xf>
    <xf numFmtId="1" fontId="8" fillId="7" borderId="21" xfId="1" applyNumberFormat="1" applyFont="1" applyFill="1" applyBorder="1" applyAlignment="1">
      <alignment horizontal="center"/>
    </xf>
    <xf numFmtId="2" fontId="8" fillId="3" borderId="9" xfId="1" applyNumberFormat="1" applyFont="1" applyFill="1" applyBorder="1" applyAlignment="1">
      <alignment horizontal="center" vertical="center"/>
    </xf>
    <xf numFmtId="1" fontId="8" fillId="7" borderId="4" xfId="1" applyNumberFormat="1" applyFont="1" applyFill="1" applyBorder="1" applyAlignment="1">
      <alignment horizontal="center"/>
    </xf>
    <xf numFmtId="11" fontId="8" fillId="7" borderId="4" xfId="1" applyNumberFormat="1" applyFont="1" applyFill="1" applyBorder="1" applyAlignment="1">
      <alignment horizontal="center"/>
    </xf>
    <xf numFmtId="165" fontId="8" fillId="7" borderId="4" xfId="1" applyNumberFormat="1" applyFont="1" applyFill="1" applyBorder="1" applyAlignment="1">
      <alignment horizontal="center"/>
    </xf>
    <xf numFmtId="0" fontId="14" fillId="3" borderId="0" xfId="1" applyFont="1" applyFill="1" applyAlignment="1">
      <alignment horizontal="center" vertical="center"/>
    </xf>
    <xf numFmtId="1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14" fillId="0" borderId="0" xfId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168" fontId="8" fillId="0" borderId="0" xfId="3" applyNumberFormat="1" applyFont="1" applyAlignment="1">
      <alignment horizontal="center"/>
    </xf>
    <xf numFmtId="11" fontId="8" fillId="0" borderId="0" xfId="1" applyNumberFormat="1" applyFont="1" applyAlignment="1">
      <alignment horizontal="center"/>
    </xf>
    <xf numFmtId="169" fontId="8" fillId="0" borderId="0" xfId="1" applyNumberFormat="1" applyFont="1" applyAlignment="1">
      <alignment horizontal="center"/>
    </xf>
    <xf numFmtId="0" fontId="5" fillId="0" borderId="0" xfId="1" applyFont="1" applyAlignment="1">
      <alignment horizontal="right"/>
    </xf>
    <xf numFmtId="11" fontId="9" fillId="0" borderId="0" xfId="1" applyNumberFormat="1" applyFont="1" applyAlignment="1">
      <alignment horizontal="center"/>
    </xf>
    <xf numFmtId="165" fontId="8" fillId="7" borderId="22" xfId="1" applyNumberFormat="1" applyFont="1" applyFill="1" applyBorder="1" applyAlignment="1">
      <alignment horizontal="center"/>
    </xf>
    <xf numFmtId="165" fontId="8" fillId="3" borderId="21" xfId="1" applyNumberFormat="1" applyFont="1" applyFill="1" applyBorder="1" applyAlignment="1">
      <alignment horizontal="center"/>
    </xf>
    <xf numFmtId="165" fontId="8" fillId="7" borderId="1" xfId="1" applyNumberFormat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vertical="center"/>
    </xf>
    <xf numFmtId="2" fontId="8" fillId="3" borderId="1" xfId="1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/>
    </xf>
    <xf numFmtId="169" fontId="8" fillId="3" borderId="1" xfId="1" applyNumberFormat="1" applyFont="1" applyFill="1" applyBorder="1" applyAlignment="1">
      <alignment horizontal="center"/>
    </xf>
    <xf numFmtId="0" fontId="31" fillId="10" borderId="1" xfId="0" applyFont="1" applyFill="1" applyBorder="1"/>
    <xf numFmtId="0" fontId="25" fillId="0" borderId="1" xfId="0" applyFont="1" applyBorder="1"/>
    <xf numFmtId="0" fontId="9" fillId="2" borderId="1" xfId="1" applyFont="1" applyFill="1" applyBorder="1" applyAlignment="1">
      <alignment horizontal="left"/>
    </xf>
    <xf numFmtId="0" fontId="6" fillId="0" borderId="0" xfId="1" applyFont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165" fontId="0" fillId="0" borderId="6" xfId="0" applyNumberFormat="1" applyBorder="1"/>
    <xf numFmtId="11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6" fillId="5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0" fillId="10" borderId="7" xfId="0" applyFill="1" applyBorder="1"/>
    <xf numFmtId="0" fontId="0" fillId="0" borderId="0" xfId="0" applyAlignment="1">
      <alignment horizontal="center"/>
    </xf>
    <xf numFmtId="0" fontId="37" fillId="0" borderId="0" xfId="0" applyFont="1"/>
    <xf numFmtId="0" fontId="35" fillId="0" borderId="0" xfId="0" applyFont="1"/>
    <xf numFmtId="0" fontId="36" fillId="0" borderId="0" xfId="0" applyFont="1"/>
    <xf numFmtId="169" fontId="32" fillId="0" borderId="0" xfId="0" applyNumberFormat="1" applyFont="1"/>
    <xf numFmtId="0" fontId="32" fillId="0" borderId="0" xfId="0" applyFont="1"/>
    <xf numFmtId="0" fontId="9" fillId="2" borderId="2" xfId="1" applyFont="1" applyFill="1" applyBorder="1"/>
    <xf numFmtId="0" fontId="0" fillId="10" borderId="23" xfId="0" applyFill="1" applyBorder="1"/>
    <xf numFmtId="169" fontId="0" fillId="0" borderId="0" xfId="0" applyNumberFormat="1" applyAlignment="1">
      <alignment horizontal="center"/>
    </xf>
    <xf numFmtId="0" fontId="9" fillId="2" borderId="6" xfId="1" applyFont="1" applyFill="1" applyBorder="1"/>
    <xf numFmtId="0" fontId="0" fillId="10" borderId="6" xfId="0" applyFill="1" applyBorder="1"/>
    <xf numFmtId="168" fontId="0" fillId="0" borderId="13" xfId="0" applyNumberFormat="1" applyBorder="1" applyAlignment="1">
      <alignment horizontal="center"/>
    </xf>
    <xf numFmtId="0" fontId="35" fillId="14" borderId="0" xfId="0" applyFont="1" applyFill="1"/>
    <xf numFmtId="0" fontId="33" fillId="2" borderId="2" xfId="0" applyFont="1" applyFill="1" applyBorder="1"/>
    <xf numFmtId="0" fontId="33" fillId="2" borderId="24" xfId="0" applyFont="1" applyFill="1" applyBorder="1"/>
    <xf numFmtId="0" fontId="33" fillId="2" borderId="3" xfId="0" applyFont="1" applyFill="1" applyBorder="1"/>
    <xf numFmtId="0" fontId="31" fillId="2" borderId="1" xfId="0" applyFont="1" applyFill="1" applyBorder="1"/>
    <xf numFmtId="0" fontId="33" fillId="2" borderId="1" xfId="0" applyFont="1" applyFill="1" applyBorder="1"/>
    <xf numFmtId="0" fontId="26" fillId="13" borderId="2" xfId="0" applyFont="1" applyFill="1" applyBorder="1"/>
    <xf numFmtId="0" fontId="26" fillId="13" borderId="25" xfId="0" applyFont="1" applyFill="1" applyBorder="1"/>
    <xf numFmtId="0" fontId="26" fillId="12" borderId="24" xfId="0" applyFont="1" applyFill="1" applyBorder="1"/>
    <xf numFmtId="0" fontId="26" fillId="12" borderId="3" xfId="0" applyFont="1" applyFill="1" applyBorder="1"/>
    <xf numFmtId="169" fontId="34" fillId="12" borderId="1" xfId="0" applyNumberFormat="1" applyFont="1" applyFill="1" applyBorder="1" applyAlignment="1">
      <alignment horizontal="left"/>
    </xf>
    <xf numFmtId="0" fontId="34" fillId="12" borderId="1" xfId="0" applyFont="1" applyFill="1" applyBorder="1" applyAlignment="1">
      <alignment horizontal="left"/>
    </xf>
    <xf numFmtId="166" fontId="17" fillId="7" borderId="1" xfId="1" applyNumberFormat="1" applyFont="1" applyFill="1" applyBorder="1" applyAlignment="1">
      <alignment horizontal="center" vertical="center"/>
    </xf>
    <xf numFmtId="167" fontId="19" fillId="7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15" fillId="2" borderId="1" xfId="1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left"/>
    </xf>
    <xf numFmtId="167" fontId="20" fillId="5" borderId="1" xfId="1" applyNumberFormat="1" applyFont="1" applyFill="1" applyBorder="1" applyAlignment="1">
      <alignment horizontal="center"/>
    </xf>
    <xf numFmtId="11" fontId="8" fillId="7" borderId="11" xfId="1" applyNumberFormat="1" applyFont="1" applyFill="1" applyBorder="1" applyAlignment="1">
      <alignment horizontal="center"/>
    </xf>
    <xf numFmtId="0" fontId="14" fillId="3" borderId="12" xfId="1" applyFont="1" applyFill="1" applyBorder="1" applyAlignment="1">
      <alignment horizontal="center"/>
    </xf>
    <xf numFmtId="11" fontId="8" fillId="7" borderId="13" xfId="1" applyNumberFormat="1" applyFont="1" applyFill="1" applyBorder="1" applyAlignment="1">
      <alignment horizontal="center"/>
    </xf>
    <xf numFmtId="0" fontId="14" fillId="3" borderId="14" xfId="1" applyFont="1" applyFill="1" applyBorder="1" applyAlignment="1">
      <alignment horizontal="center"/>
    </xf>
    <xf numFmtId="11" fontId="8" fillId="7" borderId="1" xfId="1" applyNumberFormat="1" applyFont="1" applyFill="1" applyBorder="1" applyAlignment="1">
      <alignment horizontal="center"/>
    </xf>
    <xf numFmtId="11" fontId="8" fillId="7" borderId="14" xfId="1" applyNumberFormat="1" applyFont="1" applyFill="1" applyBorder="1" applyAlignment="1">
      <alignment horizontal="center"/>
    </xf>
    <xf numFmtId="0" fontId="9" fillId="9" borderId="1" xfId="1" applyFont="1" applyFill="1" applyBorder="1" applyAlignment="1">
      <alignment horizontal="left"/>
    </xf>
    <xf numFmtId="1" fontId="6" fillId="9" borderId="2" xfId="1" applyNumberFormat="1" applyFont="1" applyFill="1" applyBorder="1" applyAlignment="1">
      <alignment horizontal="center"/>
    </xf>
    <xf numFmtId="0" fontId="6" fillId="9" borderId="3" xfId="1" applyFont="1" applyFill="1" applyBorder="1" applyAlignment="1">
      <alignment horizontal="center"/>
    </xf>
    <xf numFmtId="0" fontId="6" fillId="9" borderId="1" xfId="1" applyFont="1" applyFill="1" applyBorder="1" applyAlignment="1">
      <alignment horizontal="left"/>
    </xf>
    <xf numFmtId="0" fontId="9" fillId="9" borderId="8" xfId="1" applyFont="1" applyFill="1" applyBorder="1" applyAlignment="1">
      <alignment horizontal="left"/>
    </xf>
    <xf numFmtId="0" fontId="9" fillId="9" borderId="9" xfId="1" applyFont="1" applyFill="1" applyBorder="1" applyAlignment="1">
      <alignment horizontal="left"/>
    </xf>
    <xf numFmtId="11" fontId="6" fillId="6" borderId="1" xfId="1" applyNumberFormat="1" applyFont="1" applyFill="1" applyBorder="1" applyAlignment="1">
      <alignment horizontal="center" vertical="center"/>
    </xf>
    <xf numFmtId="11" fontId="7" fillId="5" borderId="1" xfId="1" applyNumberFormat="1" applyFont="1" applyFill="1" applyBorder="1" applyAlignment="1">
      <alignment horizontal="center" vertical="center"/>
    </xf>
    <xf numFmtId="1" fontId="7" fillId="5" borderId="1" xfId="1" applyNumberFormat="1" applyFont="1" applyFill="1" applyBorder="1" applyAlignment="1">
      <alignment horizontal="center" vertical="center"/>
    </xf>
    <xf numFmtId="0" fontId="9" fillId="9" borderId="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3" xfId="0" applyFill="1" applyBorder="1" applyAlignment="1">
      <alignment horizontal="center"/>
    </xf>
  </cellXfs>
  <cellStyles count="4">
    <cellStyle name="Normal" xfId="0" builtinId="0"/>
    <cellStyle name="Normal 2 2 2" xfId="3" xr:uid="{4A3D6CC3-EC58-A34F-AE1B-D1E8BDFF1127}"/>
    <cellStyle name="Normal 2 3 2 23" xfId="2" xr:uid="{6B9D4483-C60B-4846-8DA1-EE9028875931}"/>
    <cellStyle name="Normal 51" xfId="1" xr:uid="{C72EC2CD-0871-B044-9BE4-CAC14A14A39B}"/>
  </cellStyles>
  <dxfs count="0"/>
  <tableStyles count="0" defaultTableStyle="TableStyleMedium2" defaultPivotStyle="PivotStyleLight16"/>
  <colors>
    <mruColors>
      <color rgb="FF45E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749301</xdr:colOff>
      <xdr:row>5</xdr:row>
      <xdr:rowOff>88900</xdr:rowOff>
    </xdr:from>
    <xdr:to>
      <xdr:col>14</xdr:col>
      <xdr:colOff>88901</xdr:colOff>
      <xdr:row>88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3B5F65-42D7-E157-0AAA-CBBADC47B51B}"/>
            </a:ext>
          </a:extLst>
        </xdr:cNvPr>
        <xdr:cNvSpPr/>
      </xdr:nvSpPr>
      <xdr:spPr>
        <a:xfrm flipH="1">
          <a:off x="14020801" y="1104900"/>
          <a:ext cx="177800" cy="192278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101600</xdr:colOff>
      <xdr:row>0</xdr:row>
      <xdr:rowOff>63500</xdr:rowOff>
    </xdr:from>
    <xdr:to>
      <xdr:col>22</xdr:col>
      <xdr:colOff>711200</xdr:colOff>
      <xdr:row>4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5583A7-2701-280A-C6E7-13C578BC167E}"/>
            </a:ext>
          </a:extLst>
        </xdr:cNvPr>
        <xdr:cNvSpPr/>
      </xdr:nvSpPr>
      <xdr:spPr>
        <a:xfrm>
          <a:off x="11658600" y="63500"/>
          <a:ext cx="7213600" cy="8509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latin typeface="Abadi" panose="020B0604020104020204" pitchFamily="34" charset="77"/>
            </a:rPr>
            <a:t>Data</a:t>
          </a: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13</xdr:col>
      <xdr:colOff>698500</xdr:colOff>
      <xdr:row>31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D5FE58-A573-534E-B734-E4078635FF95}"/>
            </a:ext>
          </a:extLst>
        </xdr:cNvPr>
        <xdr:cNvSpPr/>
      </xdr:nvSpPr>
      <xdr:spPr>
        <a:xfrm>
          <a:off x="825500" y="5892800"/>
          <a:ext cx="11480800" cy="4064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Abadi" panose="020B0604020104020204" pitchFamily="34" charset="77"/>
            </a:rPr>
            <a:t>Output Result</a:t>
          </a:r>
        </a:p>
      </xdr:txBody>
    </xdr:sp>
    <xdr:clientData/>
  </xdr:twoCellAnchor>
  <xdr:twoCellAnchor>
    <xdr:from>
      <xdr:col>1</xdr:col>
      <xdr:colOff>0</xdr:colOff>
      <xdr:row>0</xdr:row>
      <xdr:rowOff>63500</xdr:rowOff>
    </xdr:from>
    <xdr:to>
      <xdr:col>13</xdr:col>
      <xdr:colOff>698500</xdr:colOff>
      <xdr:row>4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FAF6D47-E93A-3D47-94FB-92D9E310C5F6}"/>
            </a:ext>
          </a:extLst>
        </xdr:cNvPr>
        <xdr:cNvSpPr/>
      </xdr:nvSpPr>
      <xdr:spPr>
        <a:xfrm>
          <a:off x="825500" y="63500"/>
          <a:ext cx="11480800" cy="8509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Abadi" panose="020B0604020104020204" pitchFamily="34" charset="77"/>
            </a:rPr>
            <a:t>Input</a:t>
          </a:r>
        </a:p>
      </xdr:txBody>
    </xdr:sp>
    <xdr:clientData/>
  </xdr:twoCellAnchor>
  <xdr:oneCellAnchor>
    <xdr:from>
      <xdr:col>4</xdr:col>
      <xdr:colOff>76200</xdr:colOff>
      <xdr:row>36</xdr:row>
      <xdr:rowOff>38100</xdr:rowOff>
    </xdr:from>
    <xdr:ext cx="3107765" cy="588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BFDCADA-455A-8141-A8F5-99BD8FED20EF}"/>
                </a:ext>
              </a:extLst>
            </xdr:cNvPr>
            <xdr:cNvSpPr txBox="1"/>
          </xdr:nvSpPr>
          <xdr:spPr>
            <a:xfrm>
              <a:off x="3378200" y="7353300"/>
              <a:ext cx="3107765" cy="588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14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sSub>
                      <m:sSub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AU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𝑒𝑓𝑓</m:t>
                        </m:r>
                      </m:sub>
                    </m:sSub>
                    <m:r>
                      <a:rPr lang="en-GB" sz="14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  <m:f>
                      <m:fPr>
                        <m:ctrlP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bSup>
                      </m:num>
                      <m:den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12</m:t>
                        </m:r>
                      </m:den>
                    </m:f>
                    <m:r>
                      <a:rPr lang="en-AU" sz="14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  <m:sSubSup>
                      <m:sSubSup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AU" sz="18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BFDCADA-455A-8141-A8F5-99BD8FED20EF}"/>
                </a:ext>
              </a:extLst>
            </xdr:cNvPr>
            <xdr:cNvSpPr txBox="1"/>
          </xdr:nvSpPr>
          <xdr:spPr>
            <a:xfrm>
              <a:off x="3378200" y="7353300"/>
              <a:ext cx="3107765" cy="588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𝑒𝑓𝑓=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𝑖=1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^𝑛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▒〖𝐸_𝑖 𝑏_𝑖 〗 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_𝑖^3)/12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+∑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𝑖=1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^𝑛▒〖𝐸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 〗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𝑎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𝑖^2</a:t>
              </a:r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AU" sz="18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23</xdr:col>
      <xdr:colOff>165100</xdr:colOff>
      <xdr:row>0</xdr:row>
      <xdr:rowOff>50800</xdr:rowOff>
    </xdr:from>
    <xdr:to>
      <xdr:col>32</xdr:col>
      <xdr:colOff>177800</xdr:colOff>
      <xdr:row>4</xdr:row>
      <xdr:rowOff>88900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A63D186-DBD7-2842-A97D-8AB732D88D1F}"/>
            </a:ext>
          </a:extLst>
        </xdr:cNvPr>
        <xdr:cNvSpPr/>
      </xdr:nvSpPr>
      <xdr:spPr>
        <a:xfrm>
          <a:off x="20027900" y="50800"/>
          <a:ext cx="7442200" cy="8509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latin typeface="Abadi" panose="020B0604020104020204" pitchFamily="34" charset="77"/>
            </a:rPr>
            <a:t>Secondary Calculation</a:t>
          </a:r>
        </a:p>
      </xdr:txBody>
    </xdr:sp>
    <xdr:clientData/>
  </xdr:twoCellAnchor>
  <xdr:twoCellAnchor>
    <xdr:from>
      <xdr:col>22</xdr:col>
      <xdr:colOff>800100</xdr:colOff>
      <xdr:row>0</xdr:row>
      <xdr:rowOff>63500</xdr:rowOff>
    </xdr:from>
    <xdr:to>
      <xdr:col>23</xdr:col>
      <xdr:colOff>76200</xdr:colOff>
      <xdr:row>88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20FAF7A-9DFD-F240-AFE0-A1BF0F7F1548}"/>
            </a:ext>
          </a:extLst>
        </xdr:cNvPr>
        <xdr:cNvSpPr/>
      </xdr:nvSpPr>
      <xdr:spPr>
        <a:xfrm>
          <a:off x="21615400" y="63500"/>
          <a:ext cx="114300" cy="202565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508000</xdr:colOff>
      <xdr:row>58</xdr:row>
      <xdr:rowOff>190500</xdr:rowOff>
    </xdr:from>
    <xdr:ext cx="3907118" cy="6499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37CC45-5780-9B4C-B809-0DBA7A35BCC0}"/>
                </a:ext>
              </a:extLst>
            </xdr:cNvPr>
            <xdr:cNvSpPr txBox="1"/>
          </xdr:nvSpPr>
          <xdr:spPr>
            <a:xfrm>
              <a:off x="3810000" y="13144500"/>
              <a:ext cx="3907118" cy="6499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14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sSub>
                      <m:sSub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AU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𝑒𝑓𝑓</m:t>
                        </m:r>
                      </m:sub>
                    </m:sSub>
                    <m:r>
                      <a:rPr lang="en-GB" sz="14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  <m:e>
                        <m:sSub>
                          <m:sSub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  <m:f>
                      <m:fPr>
                        <m:ctrlP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bSup>
                      </m:num>
                      <m:den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12</m:t>
                        </m:r>
                      </m:den>
                    </m:f>
                    <m:r>
                      <a:rPr lang="en-AU" sz="14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3</m:t>
                        </m:r>
                      </m:sup>
                      <m:e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AU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𝛾</m:t>
                                </m:r>
                              </m:e>
                              <m:sub>
                                <m:r>
                                  <a:rPr lang="en-GB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𝐸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  <m:sSubSup>
                      <m:sSubSup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sSub>
                          <m:sSubPr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GB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𝑧</m:t>
                        </m:r>
                      </m:e>
                      <m:sub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lang="en-GB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AU" sz="1400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  <a:p>
              <a:endParaRPr lang="en-AU" sz="18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37CC45-5780-9B4C-B809-0DBA7A35BCC0}"/>
                </a:ext>
              </a:extLst>
            </xdr:cNvPr>
            <xdr:cNvSpPr txBox="1"/>
          </xdr:nvSpPr>
          <xdr:spPr>
            <a:xfrm>
              <a:off x="3810000" y="13144500"/>
              <a:ext cx="3907118" cy="6499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𝑒𝑓𝑓=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𝑖=1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^3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𝐸_𝑖 𝑏_𝑖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ℎ_𝑖^3)/12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∑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𝑖=1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^3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▒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𝐸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𝑏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ℎ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 𝑧</a:t>
              </a:r>
              <a:r>
                <a:rPr lang="en-A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〗_</a:t>
              </a:r>
              <a:r>
                <a:rPr lang="en-GB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𝑖^2</a:t>
              </a:r>
              <a:endParaRPr lang="en-AU" sz="1400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  <a:p>
              <a:endParaRPr lang="en-AU" sz="18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787400</xdr:colOff>
      <xdr:row>63</xdr:row>
      <xdr:rowOff>50800</xdr:rowOff>
    </xdr:from>
    <xdr:ext cx="2876850" cy="7035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B7D88B0-D1D8-0E45-B7C9-37AB731D6A8D}"/>
                </a:ext>
              </a:extLst>
            </xdr:cNvPr>
            <xdr:cNvSpPr txBox="1"/>
          </xdr:nvSpPr>
          <xdr:spPr>
            <a:xfrm>
              <a:off x="4089400" y="14097000"/>
              <a:ext cx="2876850" cy="7035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𝛾</m:t>
                        </m:r>
                      </m:e>
                      <m:sub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GB" sz="14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AU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AU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GB" sz="1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AU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  <m:sup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sSub>
                                  <m:sSub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</m:e>
                                  <m:sub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𝐺</m:t>
                                    </m:r>
                                  </m:e>
                                  <m:sub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sub>
                                </m:sSub>
                                <m:r>
                                  <a:rPr lang="en-GB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f>
                                  <m:f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</m:t>
                                    </m:r>
                                  </m:num>
                                  <m:den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</m:den>
                                </m:f>
                                <m:r>
                                  <a:rPr lang="en-GB" sz="1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sSubSup>
                                  <m:sSubSupPr>
                                    <m:ctrlPr>
                                      <a:rPr lang="en-AU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𝑙</m:t>
                                    </m:r>
                                  </m:e>
                                  <m:sub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𝑟𝑒𝑓</m:t>
                                    </m:r>
                                  </m:sub>
                                  <m:sup>
                                    <m:r>
                                      <a:rPr lang="en-GB" sz="1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</m:e>
                      <m:sup>
                        <m:r>
                          <a:rPr lang="en-GB" sz="14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AU" sz="14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B7D88B0-D1D8-0E45-B7C9-37AB731D6A8D}"/>
                </a:ext>
              </a:extLst>
            </xdr:cNvPr>
            <xdr:cNvSpPr txBox="1"/>
          </xdr:nvSpPr>
          <xdr:spPr>
            <a:xfrm>
              <a:off x="4089400" y="14097000"/>
              <a:ext cx="2876850" cy="7035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𝛾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𝑅⋅𝑏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𝑑⋅𝑙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𝑟𝑒𝑓^2 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GB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en-AU" sz="1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AU" sz="14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AU" sz="14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0</xdr:colOff>
      <xdr:row>55</xdr:row>
      <xdr:rowOff>0</xdr:rowOff>
    </xdr:from>
    <xdr:to>
      <xdr:col>13</xdr:col>
      <xdr:colOff>698500</xdr:colOff>
      <xdr:row>55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7F0D40D-5E2E-F945-B15A-B07C7822257F}"/>
            </a:ext>
          </a:extLst>
        </xdr:cNvPr>
        <xdr:cNvSpPr/>
      </xdr:nvSpPr>
      <xdr:spPr>
        <a:xfrm>
          <a:off x="838200" y="12192000"/>
          <a:ext cx="13131800" cy="889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000">
            <a:latin typeface="Abadi" panose="020B0604020104020204" pitchFamily="34" charset="7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0626_Floor%20Calculator%202.0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0626_Floor%20Calculator%202.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Default value"/>
      <sheetName val="1PS-Ambient"/>
      <sheetName val="Floor Calculator - Ambient"/>
      <sheetName val="Panel Properties"/>
      <sheetName val="Analysis 2.0"/>
      <sheetName val="Loading Codes"/>
      <sheetName val="NDP to Eurocode"/>
      <sheetName val="Deflection"/>
      <sheetName val="Vibration"/>
      <sheetName val="Master CLT"/>
      <sheetName val="Master Grade"/>
      <sheetName val="Design Codes"/>
      <sheetName val="1PS-Fire"/>
      <sheetName val="Floor Calculator - Fire"/>
      <sheetName val="Design Codes_Fire"/>
      <sheetName val="CLT Char 2.0"/>
      <sheetName val="Product Database"/>
      <sheetName val="Panel Properties Fire"/>
      <sheetName val="NDP to Eurocode Fire"/>
      <sheetName val="Loading Codes-Fire"/>
      <sheetName val="Analysis 2.0 - Fire"/>
      <sheetName val="Units Conver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J7" t="str">
            <v>mm</v>
          </cell>
        </row>
        <row r="12">
          <cell r="J12" t="str">
            <v>MPa</v>
          </cell>
        </row>
        <row r="15">
          <cell r="J15" t="str">
            <v xml:space="preserve">N-mm²/m </v>
          </cell>
        </row>
        <row r="45">
          <cell r="J45" t="str">
            <v>mm⁴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Default value"/>
      <sheetName val="1PS-Ambient"/>
      <sheetName val="Floor Calculator - Ambient"/>
      <sheetName val="Panel Properties"/>
      <sheetName val="Analysis 2.0"/>
      <sheetName val="Loading Codes"/>
      <sheetName val="NDP to Eurocode"/>
      <sheetName val="Deflection"/>
      <sheetName val="Vibration"/>
      <sheetName val="Master CLT"/>
      <sheetName val="Master Grade"/>
      <sheetName val="Design Codes"/>
      <sheetName val="1PS-Fire"/>
      <sheetName val="Floor Calculator - Fire"/>
      <sheetName val="Design Codes_Fire"/>
      <sheetName val="CLT Char 2.0"/>
      <sheetName val="Product Database"/>
      <sheetName val="Panel Properties Fire"/>
      <sheetName val="NDP to Eurocode Fire"/>
      <sheetName val="Loading Codes-Fire"/>
      <sheetName val="Analysis 2.0 - Fire"/>
      <sheetName val="Units Conver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J7" t="str">
            <v>mm</v>
          </cell>
        </row>
        <row r="12">
          <cell r="J12" t="str">
            <v>MPa</v>
          </cell>
        </row>
        <row r="15">
          <cell r="J15" t="str">
            <v xml:space="preserve">N-mm²/m </v>
          </cell>
        </row>
        <row r="43">
          <cell r="J43" t="str">
            <v>mm²</v>
          </cell>
        </row>
        <row r="45">
          <cell r="J45" t="str">
            <v>mm⁴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C22C-C102-8D40-8B2F-ED04444878D6}">
  <dimension ref="B6:AM89"/>
  <sheetViews>
    <sheetView tabSelected="1" topLeftCell="A3" workbookViewId="0">
      <selection activeCell="F13" sqref="F13"/>
    </sheetView>
  </sheetViews>
  <sheetFormatPr baseColWidth="10" defaultColWidth="11" defaultRowHeight="16" x14ac:dyDescent="0.2"/>
  <cols>
    <col min="5" max="5" width="14" customWidth="1"/>
    <col min="6" max="6" width="17.6640625" customWidth="1"/>
    <col min="7" max="7" width="15.33203125" customWidth="1"/>
    <col min="9" max="9" width="19.1640625" customWidth="1"/>
    <col min="10" max="10" width="14.5" customWidth="1"/>
    <col min="11" max="11" width="16.5" customWidth="1"/>
    <col min="37" max="37" width="11.33203125" bestFit="1" customWidth="1"/>
  </cols>
  <sheetData>
    <row r="6" spans="2:20" x14ac:dyDescent="0.2">
      <c r="P6" s="30"/>
      <c r="Q6" s="152" t="s">
        <v>0</v>
      </c>
      <c r="R6" s="153"/>
      <c r="S6" s="153"/>
      <c r="T6" s="154"/>
    </row>
    <row r="7" spans="2:20" x14ac:dyDescent="0.2">
      <c r="P7" s="30" t="s">
        <v>1</v>
      </c>
      <c r="Q7" s="30" t="s">
        <v>2</v>
      </c>
      <c r="R7" s="30" t="s">
        <v>3</v>
      </c>
      <c r="S7" s="30" t="s">
        <v>4</v>
      </c>
      <c r="T7" s="30" t="s">
        <v>5</v>
      </c>
    </row>
    <row r="8" spans="2:20" x14ac:dyDescent="0.2">
      <c r="B8" t="s">
        <v>6</v>
      </c>
      <c r="D8" t="s">
        <v>7</v>
      </c>
      <c r="F8" t="s">
        <v>8</v>
      </c>
      <c r="H8" t="s">
        <v>9</v>
      </c>
      <c r="I8" t="s">
        <v>10</v>
      </c>
      <c r="P8" t="s">
        <v>11</v>
      </c>
      <c r="Q8">
        <v>1100</v>
      </c>
      <c r="R8">
        <v>110</v>
      </c>
      <c r="S8">
        <v>687.5</v>
      </c>
      <c r="T8">
        <v>62.5</v>
      </c>
    </row>
    <row r="9" spans="2:20" x14ac:dyDescent="0.2">
      <c r="B9" s="1" t="s">
        <v>11</v>
      </c>
      <c r="D9" s="1">
        <v>5</v>
      </c>
      <c r="F9" s="1">
        <v>35</v>
      </c>
      <c r="H9" s="1">
        <v>5</v>
      </c>
      <c r="P9" t="s">
        <v>12</v>
      </c>
      <c r="Q9">
        <v>1100</v>
      </c>
      <c r="R9">
        <v>110</v>
      </c>
      <c r="S9">
        <v>687.5</v>
      </c>
      <c r="T9">
        <v>62.5</v>
      </c>
    </row>
    <row r="15" spans="2:20" x14ac:dyDescent="0.2">
      <c r="P15" t="s">
        <v>13</v>
      </c>
    </row>
    <row r="16" spans="2:20" x14ac:dyDescent="0.2">
      <c r="P16" t="s">
        <v>14</v>
      </c>
    </row>
    <row r="17" spans="2:16" x14ac:dyDescent="0.2">
      <c r="B17" t="s">
        <v>13</v>
      </c>
      <c r="D17" t="s">
        <v>15</v>
      </c>
      <c r="E17" t="s">
        <v>16</v>
      </c>
      <c r="P17" t="s">
        <v>17</v>
      </c>
    </row>
    <row r="18" spans="2:16" x14ac:dyDescent="0.2">
      <c r="B18" s="1" t="s">
        <v>14</v>
      </c>
      <c r="D18" s="1">
        <v>1000</v>
      </c>
    </row>
    <row r="33" spans="2:32" ht="22" x14ac:dyDescent="0.3">
      <c r="B33" s="25" t="s">
        <v>14</v>
      </c>
    </row>
    <row r="35" spans="2:32" x14ac:dyDescent="0.2">
      <c r="B35" t="s">
        <v>18</v>
      </c>
    </row>
    <row r="36" spans="2:32" x14ac:dyDescent="0.2">
      <c r="Z36" t="s">
        <v>19</v>
      </c>
    </row>
    <row r="38" spans="2:32" ht="21" x14ac:dyDescent="0.3">
      <c r="Z38" s="6" t="s">
        <v>20</v>
      </c>
      <c r="AA38" s="84" t="s">
        <v>21</v>
      </c>
      <c r="AB38" s="84" t="s">
        <v>22</v>
      </c>
      <c r="AC38" s="84" t="s">
        <v>23</v>
      </c>
      <c r="AD38" s="84" t="s">
        <v>24</v>
      </c>
      <c r="AE38" s="84" t="s">
        <v>25</v>
      </c>
      <c r="AF38" s="84" t="s">
        <v>26</v>
      </c>
    </row>
    <row r="39" spans="2:32" ht="20" x14ac:dyDescent="0.25">
      <c r="K39" s="26" t="s">
        <v>27</v>
      </c>
      <c r="N39" s="26"/>
      <c r="Z39" s="6"/>
      <c r="AA39" s="7" t="str">
        <f>'[1]Units Converter'!$J$7</f>
        <v>mm</v>
      </c>
      <c r="AB39" s="7" t="str">
        <f>'[1]Units Converter'!$J$7</f>
        <v>mm</v>
      </c>
      <c r="AC39" s="7"/>
      <c r="AD39" s="7" t="str">
        <f>'[1]Units Converter'!$J$12</f>
        <v>MPa</v>
      </c>
      <c r="AE39" s="7" t="str">
        <f>'[1]Units Converter'!$J$7</f>
        <v>mm</v>
      </c>
      <c r="AF39" s="30" t="s">
        <v>28</v>
      </c>
    </row>
    <row r="40" spans="2:32" ht="20" x14ac:dyDescent="0.25">
      <c r="Z40" s="12" t="s">
        <v>29</v>
      </c>
      <c r="AA40" s="13">
        <f>IF(D9&gt;=1,F9,0)</f>
        <v>35</v>
      </c>
      <c r="AB40" s="13">
        <f>IF(OR(AA40=0,AA40=""),0,SUM(AA40:AA46)+AA40/2)</f>
        <v>192.5</v>
      </c>
      <c r="AC40" s="14">
        <v>0</v>
      </c>
      <c r="AD40" s="14">
        <f>IF(AND(AC40=0,AA40&gt;0),VLOOKUP($B$9,$P$8:$Q$9,2,FALSE),0)</f>
        <v>1100</v>
      </c>
      <c r="AE40" s="14">
        <f>ROUND(IF(AA40=0,0,ABS(AB40-$CH53)),3)</f>
        <v>192.5</v>
      </c>
      <c r="AF40" s="14">
        <f>IF(AND(AA40&gt;0),IF(AC40=0,VLOOKUP($B$9,P8:T9,4,FALSE),VLOOKUP($B$9,P8:T9,5,FALSE)),0)</f>
        <v>687.5</v>
      </c>
    </row>
    <row r="41" spans="2:32" ht="20" x14ac:dyDescent="0.25">
      <c r="Z41" s="12" t="s">
        <v>30</v>
      </c>
      <c r="AA41" s="13">
        <f>IF(D9&gt;=2,F9,0)</f>
        <v>35</v>
      </c>
      <c r="AB41" s="13">
        <f>IF(OR(AA41=0,AA41=""),0,SUM(AA41:AA46)+AA41/2)</f>
        <v>157.5</v>
      </c>
      <c r="AC41" s="14">
        <v>90</v>
      </c>
      <c r="AD41" s="14">
        <f>IF(AND(AC41=0,AA41&gt;0),VLOOKUP($B$9,$P$8:$Q$9,2,FALSE),0)</f>
        <v>0</v>
      </c>
      <c r="AE41" s="14">
        <f>ROUND(IF(AA41=0,0,ABS(AB41-$CH53)),3)</f>
        <v>157.5</v>
      </c>
      <c r="AF41" s="14">
        <f>IF(AND(AA41&gt;0),IF(AC41=0,VLOOKUP($B$9,P8:T9,4,FALSE),VLOOKUP($B$9,P8:T9,5,FALSE)),0)</f>
        <v>62.5</v>
      </c>
    </row>
    <row r="42" spans="2:32" ht="20" x14ac:dyDescent="0.25">
      <c r="B42" s="2" t="s">
        <v>20</v>
      </c>
      <c r="C42" s="146" t="s">
        <v>31</v>
      </c>
      <c r="D42" s="146"/>
      <c r="E42" s="146"/>
      <c r="F42" s="146" t="s">
        <v>32</v>
      </c>
      <c r="G42" s="146"/>
      <c r="H42" s="146" t="s">
        <v>33</v>
      </c>
      <c r="I42" s="146"/>
      <c r="J42" s="146" t="s">
        <v>34</v>
      </c>
      <c r="K42" s="146"/>
      <c r="Z42" s="12" t="s">
        <v>35</v>
      </c>
      <c r="AA42" s="13">
        <f>IF(D9&gt;=3,F9,0)</f>
        <v>35</v>
      </c>
      <c r="AB42" s="13">
        <f>IF(OR(AA42=0,AA42=""),0,SUM(AA42:AA46)+AA42/2)</f>
        <v>122.5</v>
      </c>
      <c r="AC42" s="14">
        <v>0</v>
      </c>
      <c r="AD42" s="14">
        <f>IF(AND(AC42=0,AA42&gt;0),VLOOKUP($B$9,$P$8:$Q$9,2,FALSE),0)</f>
        <v>1100</v>
      </c>
      <c r="AE42" s="14">
        <f t="shared" ref="AE42:AE46" si="0">ROUND(IF(AA42=0,0,ABS(AB42-$CH$89)),3)</f>
        <v>122.5</v>
      </c>
      <c r="AF42" s="14">
        <f>IF(AND(AA42&gt;0),IF(AC42=0,VLOOKUP($B$9,P8:T9,4,FALSE),VLOOKUP($B$9,P8:T9,5,FALSE)),0)</f>
        <v>687.5</v>
      </c>
    </row>
    <row r="43" spans="2:32" ht="20" x14ac:dyDescent="0.25">
      <c r="B43" s="3"/>
      <c r="C43" s="147" t="s">
        <v>36</v>
      </c>
      <c r="D43" s="147"/>
      <c r="E43" s="147"/>
      <c r="F43" s="148" t="s">
        <v>36</v>
      </c>
      <c r="G43" s="149"/>
      <c r="H43" s="149" t="s">
        <v>28</v>
      </c>
      <c r="I43" s="149"/>
      <c r="J43" s="150" t="s">
        <v>37</v>
      </c>
      <c r="K43" s="151"/>
      <c r="Z43" s="12" t="s">
        <v>38</v>
      </c>
      <c r="AA43" s="13">
        <f>IF(D9&gt;=4,F9,0)</f>
        <v>35</v>
      </c>
      <c r="AB43" s="13">
        <f>IF(OR(AA43=0,AA43=""),0,SUM(AA43:AA46)+AA43/2)</f>
        <v>87.5</v>
      </c>
      <c r="AC43" s="14">
        <v>90</v>
      </c>
      <c r="AD43" s="14">
        <f>IF(AND(AC43=0,AA40&gt;0),VLOOKUP($B$9,$P$8:$Q$9,2,FALSE),0)</f>
        <v>0</v>
      </c>
      <c r="AE43" s="14">
        <f t="shared" si="0"/>
        <v>87.5</v>
      </c>
      <c r="AF43" s="14">
        <f>IF(AND(AA43&gt;0),IF(AC43=0,VLOOKUP($B$9,P8:T9,4,FALSE),VLOOKUP($B$9,P8:T9,5,FALSE)),0)</f>
        <v>62.5</v>
      </c>
    </row>
    <row r="44" spans="2:32" ht="20" x14ac:dyDescent="0.25">
      <c r="B44" s="4" t="s">
        <v>39</v>
      </c>
      <c r="C44" s="141">
        <f>AA52</f>
        <v>3572916.6666666665</v>
      </c>
      <c r="D44" s="141"/>
      <c r="E44" s="141"/>
      <c r="F44" s="142">
        <f>AC52</f>
        <v>1296968750</v>
      </c>
      <c r="G44" s="142"/>
      <c r="H44" s="143">
        <f>AE52</f>
        <v>1100</v>
      </c>
      <c r="I44" s="143"/>
      <c r="J44" s="142">
        <f>AF52</f>
        <v>1430595833333.3335</v>
      </c>
      <c r="K44" s="142"/>
      <c r="Z44" s="12" t="s">
        <v>40</v>
      </c>
      <c r="AA44" s="13">
        <f>IF(D9&gt;=5,F9,0)</f>
        <v>35</v>
      </c>
      <c r="AB44" s="13">
        <f>IF(OR(AA44=0,AA44=""),0,SUM(AA44:AA46)+AA44/2)</f>
        <v>52.5</v>
      </c>
      <c r="AC44" s="14">
        <v>0</v>
      </c>
      <c r="AD44" s="14">
        <f>IF(AND(AC44=0,AA44&gt;0),VLOOKUP($B$9,$P$8:$Q$9,2,FALSE),0)</f>
        <v>1100</v>
      </c>
      <c r="AE44" s="14">
        <f t="shared" si="0"/>
        <v>52.5</v>
      </c>
      <c r="AF44" s="14">
        <f>IF(AND(AA44&gt;0),IF(AC44=0,VLOOKUP($B$9,P8:T9,4,FALSE),VLOOKUP($B$9,P8:T9,5,FALSE)),0)</f>
        <v>687.5</v>
      </c>
    </row>
    <row r="45" spans="2:32" ht="20" x14ac:dyDescent="0.25">
      <c r="B45" s="5" t="s">
        <v>41</v>
      </c>
      <c r="C45" s="141">
        <f t="shared" ref="C45:C48" si="1">AA53</f>
        <v>3572916.6666666665</v>
      </c>
      <c r="D45" s="141"/>
      <c r="E45" s="141"/>
      <c r="F45" s="142">
        <f t="shared" ref="F45:F48" si="2">AC53</f>
        <v>868218750</v>
      </c>
      <c r="G45" s="142"/>
      <c r="H45" s="143">
        <f t="shared" ref="H45:H48" si="3">AE53</f>
        <v>0</v>
      </c>
      <c r="I45" s="143"/>
      <c r="J45" s="142">
        <f t="shared" ref="J45:J48" si="4">AF53</f>
        <v>0</v>
      </c>
      <c r="K45" s="142"/>
      <c r="Z45" s="12" t="s">
        <v>42</v>
      </c>
      <c r="AA45" s="13">
        <f>IF(D9&gt;=6,F9,0)</f>
        <v>0</v>
      </c>
      <c r="AB45" s="13">
        <f>IF(OR(AA45=0,AA45=""),0,SUM(AA45:AA46)+AA45/2)</f>
        <v>0</v>
      </c>
      <c r="AC45" s="14">
        <v>90</v>
      </c>
      <c r="AD45" s="14">
        <f>IF(AND(AC45=0,AA45&gt;0),VLOOKUP($B$9,$P$8:$Q$9,2,FALSE),0)</f>
        <v>0</v>
      </c>
      <c r="AE45" s="14">
        <f t="shared" si="0"/>
        <v>0</v>
      </c>
      <c r="AF45" s="14">
        <f>IF(AND(AA45&gt;0),IF(AC45=0,VLOOKUP($B$9,P8:T9,4,FALSE),VLOOKUP($B$9,P8:T9,5,FALSE)),0)</f>
        <v>0</v>
      </c>
    </row>
    <row r="46" spans="2:32" ht="20" x14ac:dyDescent="0.25">
      <c r="B46" s="4" t="s">
        <v>43</v>
      </c>
      <c r="C46" s="141">
        <f t="shared" si="1"/>
        <v>3572916.6666666665</v>
      </c>
      <c r="D46" s="141"/>
      <c r="E46" s="141"/>
      <c r="F46" s="142">
        <f t="shared" si="2"/>
        <v>525218750</v>
      </c>
      <c r="G46" s="142"/>
      <c r="H46" s="143">
        <f t="shared" si="3"/>
        <v>1100</v>
      </c>
      <c r="I46" s="143"/>
      <c r="J46" s="142">
        <f t="shared" si="4"/>
        <v>581670833333.33337</v>
      </c>
      <c r="K46" s="142"/>
      <c r="Z46" s="12" t="s">
        <v>44</v>
      </c>
      <c r="AA46" s="13">
        <f>IF(D9&gt;=7,F9,0)</f>
        <v>0</v>
      </c>
      <c r="AB46" s="13">
        <f>IF(OR(AA46=0,AA46=""),0,SUM(AA46:AA46)+AA46/2)</f>
        <v>0</v>
      </c>
      <c r="AC46" s="14">
        <f t="shared" ref="AC46" si="5">$CJ25</f>
        <v>0</v>
      </c>
      <c r="AD46" s="14">
        <f>IF(AND(AC46=0,AA46&gt;0),VLOOKUP($B$9,$P$8:$Q$9,2,FALSE),0)</f>
        <v>0</v>
      </c>
      <c r="AE46" s="14">
        <f t="shared" si="0"/>
        <v>0</v>
      </c>
      <c r="AF46" s="14">
        <f>IF(AND(AA46&gt;0),IF(AC46=0,VLOOKUP($B$9,P8:T9,4,FALSE),VLOOKUP($B$9,P8:T9,5,FALSE)),0)</f>
        <v>0</v>
      </c>
    </row>
    <row r="47" spans="2:32" ht="20" x14ac:dyDescent="0.25">
      <c r="B47" s="5" t="s">
        <v>45</v>
      </c>
      <c r="C47" s="141">
        <f t="shared" si="1"/>
        <v>3572916.6666666665</v>
      </c>
      <c r="D47" s="141"/>
      <c r="E47" s="141"/>
      <c r="F47" s="142">
        <f t="shared" si="2"/>
        <v>267968750</v>
      </c>
      <c r="G47" s="142"/>
      <c r="H47" s="143">
        <f t="shared" si="3"/>
        <v>0</v>
      </c>
      <c r="I47" s="143"/>
      <c r="J47" s="142">
        <f t="shared" si="4"/>
        <v>0</v>
      </c>
      <c r="K47" s="142"/>
      <c r="Z47" s="10"/>
      <c r="AA47" s="11"/>
      <c r="AB47" s="11"/>
      <c r="AC47" s="11"/>
      <c r="AD47" s="11"/>
      <c r="AE47" s="11"/>
    </row>
    <row r="48" spans="2:32" ht="20" x14ac:dyDescent="0.25">
      <c r="B48" s="4" t="s">
        <v>46</v>
      </c>
      <c r="C48" s="141">
        <f t="shared" si="1"/>
        <v>3572916.6666666665</v>
      </c>
      <c r="D48" s="141"/>
      <c r="E48" s="141"/>
      <c r="F48" s="142">
        <f t="shared" si="2"/>
        <v>96468750</v>
      </c>
      <c r="G48" s="142"/>
      <c r="H48" s="143">
        <f t="shared" si="3"/>
        <v>1100</v>
      </c>
      <c r="I48" s="143"/>
      <c r="J48" s="142">
        <f t="shared" si="4"/>
        <v>110045833333.33334</v>
      </c>
      <c r="K48" s="142"/>
      <c r="Z48" s="10"/>
      <c r="AA48" s="11"/>
      <c r="AB48" s="11"/>
      <c r="AC48" s="11"/>
      <c r="AD48" s="11"/>
      <c r="AE48" s="11"/>
    </row>
    <row r="49" spans="2:33" ht="20" x14ac:dyDescent="0.25">
      <c r="H49" s="122" t="s">
        <v>47</v>
      </c>
      <c r="I49" s="122"/>
      <c r="J49" s="121">
        <f>AF59</f>
        <v>2122312500000.0002</v>
      </c>
      <c r="K49" s="121"/>
      <c r="Z49" s="10" t="s">
        <v>48</v>
      </c>
      <c r="AA49" s="11"/>
      <c r="AB49" s="11"/>
      <c r="AC49" s="11"/>
      <c r="AD49" s="11"/>
      <c r="AE49" s="11"/>
    </row>
    <row r="50" spans="2:33" ht="21" x14ac:dyDescent="0.3">
      <c r="Z50" s="15" t="s">
        <v>20</v>
      </c>
      <c r="AA50" s="144" t="s">
        <v>49</v>
      </c>
      <c r="AB50" s="145"/>
      <c r="AC50" s="139" t="s">
        <v>50</v>
      </c>
      <c r="AD50" s="140"/>
      <c r="AE50" s="16" t="s">
        <v>51</v>
      </c>
      <c r="AF50" s="135" t="s">
        <v>52</v>
      </c>
      <c r="AG50" s="135"/>
    </row>
    <row r="51" spans="2:33" ht="20" x14ac:dyDescent="0.25">
      <c r="Z51" s="17"/>
      <c r="AA51" s="136" t="str">
        <f>'[1]Units Converter'!$J$45</f>
        <v>mm⁴</v>
      </c>
      <c r="AB51" s="137"/>
      <c r="AC51" s="136" t="str">
        <f>'[1]Units Converter'!$J$45</f>
        <v>mm⁴</v>
      </c>
      <c r="AD51" s="137"/>
      <c r="AE51" s="7" t="str">
        <f>'[1]Units Converter'!$J$12</f>
        <v>MPa</v>
      </c>
      <c r="AF51" s="138" t="str">
        <f>'[1]Units Converter'!$J$15</f>
        <v xml:space="preserve">N-mm²/m </v>
      </c>
      <c r="AG51" s="138"/>
    </row>
    <row r="52" spans="2:33" ht="20" x14ac:dyDescent="0.25">
      <c r="B52" s="123" t="s">
        <v>53</v>
      </c>
      <c r="C52" s="123"/>
      <c r="D52" s="123"/>
      <c r="E52" s="123"/>
      <c r="F52" s="123"/>
      <c r="G52" s="123"/>
      <c r="H52" s="124" t="s">
        <v>54</v>
      </c>
      <c r="I52" s="124"/>
      <c r="J52" s="124"/>
      <c r="K52" s="23"/>
      <c r="Z52" s="8" t="s">
        <v>29</v>
      </c>
      <c r="AA52" s="129">
        <f>D18*AA40^3/12</f>
        <v>3572916.6666666665</v>
      </c>
      <c r="AB52" s="130"/>
      <c r="AC52" s="129">
        <f>AA40*D18*AE40^2</f>
        <v>1296968750</v>
      </c>
      <c r="AD52" s="130"/>
      <c r="AE52" s="19">
        <f t="shared" ref="AE52:AE58" si="6">AD40</f>
        <v>1100</v>
      </c>
      <c r="AF52" s="133">
        <f t="shared" ref="AF52:AF58" si="7">(AA52+AC52)*AE52</f>
        <v>1430595833333.3335</v>
      </c>
      <c r="AG52" s="133"/>
    </row>
    <row r="53" spans="2:33" ht="20" x14ac:dyDescent="0.25">
      <c r="B53" s="125" t="s">
        <v>55</v>
      </c>
      <c r="C53" s="126"/>
      <c r="D53" s="127" t="s">
        <v>56</v>
      </c>
      <c r="E53" s="127"/>
      <c r="F53" s="127"/>
      <c r="G53" s="127"/>
      <c r="H53" s="128">
        <f>J49</f>
        <v>2122312500000.0002</v>
      </c>
      <c r="I53" s="128"/>
      <c r="J53" s="128"/>
      <c r="K53" s="24" t="s">
        <v>37</v>
      </c>
      <c r="Z53" s="9" t="s">
        <v>30</v>
      </c>
      <c r="AA53" s="129">
        <f>D18*AA41^3/12</f>
        <v>3572916.6666666665</v>
      </c>
      <c r="AB53" s="130"/>
      <c r="AC53" s="129">
        <f>AA41*D18*AE41^2</f>
        <v>868218750</v>
      </c>
      <c r="AD53" s="130"/>
      <c r="AE53" s="21">
        <f t="shared" si="6"/>
        <v>0</v>
      </c>
      <c r="AF53" s="133">
        <f t="shared" si="7"/>
        <v>0</v>
      </c>
      <c r="AG53" s="133"/>
    </row>
    <row r="54" spans="2:33" ht="20" x14ac:dyDescent="0.25">
      <c r="Z54" s="9" t="s">
        <v>35</v>
      </c>
      <c r="AA54" s="129">
        <f>D18*AA42^3/12</f>
        <v>3572916.6666666665</v>
      </c>
      <c r="AB54" s="130"/>
      <c r="AC54" s="131">
        <f>AA42*D18*AE42^2</f>
        <v>525218750</v>
      </c>
      <c r="AD54" s="134"/>
      <c r="AE54" s="21">
        <f t="shared" si="6"/>
        <v>1100</v>
      </c>
      <c r="AF54" s="133">
        <f t="shared" si="7"/>
        <v>581670833333.33337</v>
      </c>
      <c r="AG54" s="133"/>
    </row>
    <row r="55" spans="2:33" ht="20" x14ac:dyDescent="0.25">
      <c r="Z55" s="9" t="s">
        <v>38</v>
      </c>
      <c r="AA55" s="129">
        <f>D18*AA43^3/12</f>
        <v>3572916.6666666665</v>
      </c>
      <c r="AB55" s="130"/>
      <c r="AC55" s="131">
        <f>AA43*D18*AE43^2</f>
        <v>267968750</v>
      </c>
      <c r="AD55" s="132"/>
      <c r="AE55" s="21">
        <f t="shared" si="6"/>
        <v>0</v>
      </c>
      <c r="AF55" s="133">
        <f t="shared" si="7"/>
        <v>0</v>
      </c>
      <c r="AG55" s="133"/>
    </row>
    <row r="56" spans="2:33" ht="20" x14ac:dyDescent="0.25">
      <c r="Z56" s="9" t="s">
        <v>40</v>
      </c>
      <c r="AA56" s="129">
        <f>D18*AA44^3/12</f>
        <v>3572916.6666666665</v>
      </c>
      <c r="AB56" s="130"/>
      <c r="AC56" s="131">
        <f>AA44*D18*AE44^2</f>
        <v>96468750</v>
      </c>
      <c r="AD56" s="132"/>
      <c r="AE56" s="21">
        <f t="shared" si="6"/>
        <v>1100</v>
      </c>
      <c r="AF56" s="133">
        <f t="shared" si="7"/>
        <v>110045833333.33334</v>
      </c>
      <c r="AG56" s="133"/>
    </row>
    <row r="57" spans="2:33" ht="20" x14ac:dyDescent="0.25">
      <c r="Z57" s="9" t="s">
        <v>42</v>
      </c>
      <c r="AA57" s="129">
        <f>D18*AA45^3/12</f>
        <v>0</v>
      </c>
      <c r="AB57" s="130"/>
      <c r="AC57" s="131">
        <f>AA45*D18*AE45^2</f>
        <v>0</v>
      </c>
      <c r="AD57" s="132"/>
      <c r="AE57" s="21">
        <f t="shared" si="6"/>
        <v>0</v>
      </c>
      <c r="AF57" s="133">
        <f t="shared" si="7"/>
        <v>0</v>
      </c>
      <c r="AG57" s="133"/>
    </row>
    <row r="58" spans="2:33" ht="22" x14ac:dyDescent="0.3">
      <c r="B58" s="25" t="s">
        <v>17</v>
      </c>
      <c r="Z58" s="9" t="s">
        <v>44</v>
      </c>
      <c r="AA58" s="129">
        <f>D18*AA46^3/12</f>
        <v>0</v>
      </c>
      <c r="AB58" s="130"/>
      <c r="AC58" s="131">
        <f>AA46*D18*AE46^2</f>
        <v>0</v>
      </c>
      <c r="AD58" s="132"/>
      <c r="AE58" s="21">
        <f t="shared" si="6"/>
        <v>0</v>
      </c>
      <c r="AF58" s="133">
        <f t="shared" si="7"/>
        <v>0</v>
      </c>
      <c r="AG58" s="133"/>
    </row>
    <row r="59" spans="2:33" ht="20" x14ac:dyDescent="0.2">
      <c r="AE59" s="22" t="s">
        <v>57</v>
      </c>
      <c r="AF59" s="120">
        <f>IF(AA15=1,(((MAX(AA3:AA13))^3)*$CK$33*MAX(AD3:AD13)/12),SUM(AF48:AF58))</f>
        <v>2122312500000.0002</v>
      </c>
      <c r="AG59" s="120"/>
    </row>
    <row r="67" spans="2:39" ht="22" x14ac:dyDescent="0.3">
      <c r="Z67" s="25" t="s">
        <v>58</v>
      </c>
    </row>
    <row r="68" spans="2:39" x14ac:dyDescent="0.2">
      <c r="K68" s="26" t="s">
        <v>59</v>
      </c>
    </row>
    <row r="69" spans="2:39" ht="20" x14ac:dyDescent="0.25">
      <c r="Z69" s="31" t="s">
        <v>60</v>
      </c>
      <c r="AA69" s="32">
        <f>D9</f>
        <v>5</v>
      </c>
      <c r="AB69" s="33" t="s">
        <v>20</v>
      </c>
      <c r="AC69" s="34"/>
      <c r="AD69" s="82" t="s">
        <v>61</v>
      </c>
      <c r="AE69" s="83">
        <f>D18</f>
        <v>1000</v>
      </c>
      <c r="AF69" s="38"/>
    </row>
    <row r="70" spans="2:39" ht="21" x14ac:dyDescent="0.3">
      <c r="Z70" s="35" t="s">
        <v>62</v>
      </c>
      <c r="AA70" s="36">
        <f>H9*1000</f>
        <v>5000</v>
      </c>
      <c r="AB70" s="37" t="s">
        <v>16</v>
      </c>
      <c r="AC70" s="34"/>
      <c r="AD70" s="34"/>
      <c r="AE70" s="34"/>
      <c r="AF70" s="39"/>
    </row>
    <row r="71" spans="2:39" ht="24" x14ac:dyDescent="0.3">
      <c r="B71" s="7" t="s">
        <v>20</v>
      </c>
      <c r="C71" s="27" t="s">
        <v>63</v>
      </c>
      <c r="D71" s="27" t="s">
        <v>64</v>
      </c>
      <c r="E71" s="27" t="s">
        <v>65</v>
      </c>
      <c r="F71" s="27" t="s">
        <v>66</v>
      </c>
      <c r="G71" s="28" t="s">
        <v>67</v>
      </c>
      <c r="H71" s="28" t="s">
        <v>68</v>
      </c>
      <c r="I71" s="102" t="s">
        <v>69</v>
      </c>
      <c r="J71" s="105" t="s">
        <v>70</v>
      </c>
      <c r="K71" s="29"/>
      <c r="M71" s="29"/>
      <c r="O71" s="29"/>
      <c r="AC71" s="34"/>
      <c r="AD71" s="34"/>
      <c r="AE71" s="34"/>
      <c r="AF71" s="39"/>
    </row>
    <row r="72" spans="2:39" ht="21" x14ac:dyDescent="0.3">
      <c r="B72" s="7"/>
      <c r="C72" s="95" t="s">
        <v>28</v>
      </c>
      <c r="D72" s="95"/>
      <c r="E72" s="95" t="s">
        <v>16</v>
      </c>
      <c r="F72" s="95" t="s">
        <v>36</v>
      </c>
      <c r="G72" s="95" t="s">
        <v>36</v>
      </c>
      <c r="H72" s="95"/>
      <c r="I72" s="103"/>
      <c r="J72" s="106" t="s">
        <v>37</v>
      </c>
      <c r="Z72" s="15" t="s">
        <v>20</v>
      </c>
      <c r="AA72" s="40" t="s">
        <v>51</v>
      </c>
      <c r="AB72" s="40" t="s">
        <v>71</v>
      </c>
      <c r="AC72" s="40" t="s">
        <v>72</v>
      </c>
      <c r="AD72" s="40" t="s">
        <v>73</v>
      </c>
      <c r="AE72" s="40" t="s">
        <v>74</v>
      </c>
      <c r="AF72" s="40" t="s">
        <v>75</v>
      </c>
      <c r="AG72" s="40" t="s">
        <v>68</v>
      </c>
      <c r="AH72" s="40" t="s">
        <v>69</v>
      </c>
      <c r="AI72" s="40" t="s">
        <v>76</v>
      </c>
      <c r="AJ72" s="40" t="s">
        <v>77</v>
      </c>
      <c r="AK72" s="40" t="s">
        <v>49</v>
      </c>
      <c r="AL72" s="40" t="s">
        <v>67</v>
      </c>
      <c r="AM72" s="41" t="s">
        <v>78</v>
      </c>
    </row>
    <row r="73" spans="2:39" ht="20" x14ac:dyDescent="0.25">
      <c r="B73" s="92" t="s">
        <v>39</v>
      </c>
      <c r="C73" s="87">
        <f>AA74</f>
        <v>1100</v>
      </c>
      <c r="D73" s="88" t="str">
        <f>AI74</f>
        <v>a1</v>
      </c>
      <c r="E73" s="89">
        <f>AJ74</f>
        <v>69.996095719849933</v>
      </c>
      <c r="F73" s="88">
        <f>AK74</f>
        <v>3572916.6666666665</v>
      </c>
      <c r="G73" s="90">
        <f>AL74</f>
        <v>171480869.56078377</v>
      </c>
      <c r="H73" s="91" t="str">
        <f t="shared" ref="H73:I76" si="8">AG74</f>
        <v>g1</v>
      </c>
      <c r="I73" s="107">
        <f t="shared" si="8"/>
        <v>0.99999148852561026</v>
      </c>
      <c r="J73" s="90">
        <f>AL74</f>
        <v>171480869.56078377</v>
      </c>
      <c r="K73" s="104"/>
      <c r="Z73" s="42"/>
      <c r="AA73" s="7" t="str">
        <f>'[2]Units Converter'!$J$12</f>
        <v>MPa</v>
      </c>
      <c r="AB73" s="18"/>
      <c r="AC73" s="7" t="str">
        <f>'[2]Units Converter'!$J$7</f>
        <v>mm</v>
      </c>
      <c r="AD73" s="18"/>
      <c r="AE73" s="43" t="str">
        <f>'[2]Units Converter'!$J$43</f>
        <v>mm²</v>
      </c>
      <c r="AF73" s="7" t="str">
        <f>'[2]Units Converter'!$J$12</f>
        <v>MPa</v>
      </c>
      <c r="AG73" s="18"/>
      <c r="AH73" s="18"/>
      <c r="AI73" s="18"/>
      <c r="AJ73" s="7" t="str">
        <f>'[2]Units Converter'!$J$7</f>
        <v>mm</v>
      </c>
      <c r="AK73" s="43" t="str">
        <f>'[2]Units Converter'!$J$45</f>
        <v>mm⁴</v>
      </c>
      <c r="AL73" s="43" t="str">
        <f>'[2]Units Converter'!$J$45</f>
        <v>mm⁴</v>
      </c>
      <c r="AM73" s="18" t="str">
        <f>'[2]Units Converter'!$J$15</f>
        <v xml:space="preserve">N-mm²/m </v>
      </c>
    </row>
    <row r="74" spans="2:39" ht="21" x14ac:dyDescent="0.3">
      <c r="B74" s="93" t="s">
        <v>41</v>
      </c>
      <c r="C74" s="87">
        <f>AA75</f>
        <v>0</v>
      </c>
      <c r="D74" s="88" t="str">
        <f>AI75</f>
        <v>-</v>
      </c>
      <c r="E74" s="89" t="str">
        <f t="shared" ref="E74:E76" si="9">AJ75</f>
        <v>-</v>
      </c>
      <c r="F74" s="88" t="str">
        <f t="shared" ref="F74:G76" si="10">AK75</f>
        <v>-</v>
      </c>
      <c r="G74" s="90" t="str">
        <f t="shared" si="10"/>
        <v>-</v>
      </c>
      <c r="H74" s="91" t="str">
        <f t="shared" si="8"/>
        <v>-</v>
      </c>
      <c r="I74" s="107" t="str">
        <f t="shared" si="8"/>
        <v>-</v>
      </c>
      <c r="J74" s="90" t="str">
        <f t="shared" ref="J74:J76" si="11">AL75</f>
        <v>-</v>
      </c>
      <c r="K74" s="104"/>
      <c r="Z74" s="44" t="str">
        <f>IF(D9&gt;=1,"T1","")</f>
        <v>T1</v>
      </c>
      <c r="AA74" s="45">
        <f>AD40</f>
        <v>1100</v>
      </c>
      <c r="AB74" s="46" t="str">
        <f>IF(Z74="T1","d1","-")</f>
        <v>d1</v>
      </c>
      <c r="AC74" s="47">
        <f>AA40</f>
        <v>35</v>
      </c>
      <c r="AD74" s="48">
        <f>IF(AB74="-","-",IF(AND(AB74&lt;&gt;"d1",AB74&lt;&gt;"d2",AB74&lt;&gt;"d3"),"-",IF(AB74="d1",D18/AC75,IF(AB74="d2",D18/AC74,IF(AB74="d3",D18/AB74,"-")))))</f>
        <v>28.571428571428573</v>
      </c>
      <c r="AE74" s="49">
        <f>IF(AND(AD74&lt;&gt;"-",AA74&lt;&gt;"-"),AE69*AC74,"-")</f>
        <v>35000</v>
      </c>
      <c r="AF74" s="49">
        <f>IF(OR(AB74="-",Z74="-"),"-",IF(AND(AB74&lt;&gt;"d1",AB74&lt;&gt;"d2",AB74&lt;&gt;"d3"),0,IF(AB74="d1",AF41,IF(AB74="d2",AF40,AF39))))</f>
        <v>62.5</v>
      </c>
      <c r="AG74" s="49" t="s">
        <v>79</v>
      </c>
      <c r="AH74" s="50">
        <f>IF(OR($CG74="-",AG74="-"),"-",IF(AB74="d2",1,1/(1+PI()^2*AA74*AC74/($AD74*$AF74*(AA70)^2))))</f>
        <v>0.99999148852561026</v>
      </c>
      <c r="AI74" s="51" t="s">
        <v>80</v>
      </c>
      <c r="AJ74" s="52">
        <f>IF(AA69&gt;5,"-",IF($AI74="a1",($AC74/2+$AC75+$AC76/2)-$AJ76,"-"))</f>
        <v>69.996095719849933</v>
      </c>
      <c r="AK74" s="51">
        <f>IF(AJ74="-","-",AE69*AC74^3/12)</f>
        <v>3572916.6666666665</v>
      </c>
      <c r="AL74" s="53">
        <f>IF(AJ74="-","-",AE69*AC74*AJ74^2)</f>
        <v>171480869.56078377</v>
      </c>
      <c r="AM74" s="53">
        <f>IF(AJ74="-","-",(AK74+AH74*AL74)*AA74)</f>
        <v>192557559339.6629</v>
      </c>
    </row>
    <row r="75" spans="2:39" ht="20" x14ac:dyDescent="0.25">
      <c r="B75" s="92" t="s">
        <v>43</v>
      </c>
      <c r="C75" s="87">
        <f>AA76</f>
        <v>1100</v>
      </c>
      <c r="D75" s="88" t="str">
        <f>AI76</f>
        <v>a2</v>
      </c>
      <c r="E75" s="89">
        <f t="shared" si="9"/>
        <v>3.9042801500651569E-3</v>
      </c>
      <c r="F75" s="88">
        <f t="shared" si="10"/>
        <v>3572916.6666666665</v>
      </c>
      <c r="G75" s="90">
        <f t="shared" si="10"/>
        <v>0.53351912215674813</v>
      </c>
      <c r="H75" s="91" t="str">
        <f t="shared" si="8"/>
        <v>g2</v>
      </c>
      <c r="I75" s="107">
        <f t="shared" si="8"/>
        <v>1</v>
      </c>
      <c r="J75" s="90">
        <f t="shared" si="11"/>
        <v>0.53351912215674813</v>
      </c>
      <c r="K75" s="104"/>
      <c r="Z75" s="54" t="str">
        <f>IF(D9&gt;=3,"T2","")</f>
        <v>T2</v>
      </c>
      <c r="AA75" s="45">
        <f>AD41</f>
        <v>0</v>
      </c>
      <c r="AB75" s="46" t="str">
        <f>IF(Z75="T2","d1,2","-")</f>
        <v>d1,2</v>
      </c>
      <c r="AC75" s="47">
        <f>AA41</f>
        <v>35</v>
      </c>
      <c r="AD75" s="56" t="str">
        <f>IF(AB75="-","-",IF(AND(AB75&lt;&gt;"d1",AB75&lt;&gt;"d2",AB75&lt;&gt;"d3"),"-",IF(AB75="d1",D18/AC76,IF(AB75="d2",D18/AC75,IF(AB75="d3",D18/AC74,"-")))))</f>
        <v>-</v>
      </c>
      <c r="AE75" s="49" t="str">
        <f>IF(AND(AD75&lt;&gt;"-",AA75&lt;&gt;"-"),AE69*AC75,"-")</f>
        <v>-</v>
      </c>
      <c r="AF75" s="57">
        <f>IF(OR(AB75="-",Z75="-"),"-",IF(AND(AB75&lt;&gt;"d1",AB75&lt;&gt;"d2",AB75&lt;&gt;"d3"),0,IF(AB75="d1",AF42,IF(AB75="d2",AF41,AF40))))</f>
        <v>0</v>
      </c>
      <c r="AG75" s="57" t="s">
        <v>81</v>
      </c>
      <c r="AH75" s="50" t="str">
        <f>IF(OR($CG75="-",AG75="-"),"-",IF(AB75="d2",1,1/(1+PI()^2*AA75*AC75/($AD75*$AF75*(AA71)^2))))</f>
        <v>-</v>
      </c>
      <c r="AI75" s="58" t="s">
        <v>81</v>
      </c>
      <c r="AJ75" s="59" t="s">
        <v>81</v>
      </c>
      <c r="AK75" s="51" t="str">
        <f>IF(AJ75="-","-",AE69*AC75^3/12)</f>
        <v>-</v>
      </c>
      <c r="AL75" s="53" t="str">
        <f>IF(AJ75="-","-",AE69*AC75*AJ75^2)</f>
        <v>-</v>
      </c>
      <c r="AM75" s="53" t="str">
        <f t="shared" ref="AM75:AM78" si="12">IF(AJ75="-","-",(AK75+AH75*AL75)*AA75)</f>
        <v>-</v>
      </c>
    </row>
    <row r="76" spans="2:39" ht="21" x14ac:dyDescent="0.3">
      <c r="B76" s="93" t="s">
        <v>45</v>
      </c>
      <c r="C76" s="87">
        <f>AA77</f>
        <v>0</v>
      </c>
      <c r="D76" s="88" t="str">
        <f>AI77</f>
        <v>-</v>
      </c>
      <c r="E76" s="89" t="str">
        <f t="shared" si="9"/>
        <v>-</v>
      </c>
      <c r="F76" s="88" t="str">
        <f t="shared" si="10"/>
        <v>-</v>
      </c>
      <c r="G76" s="90" t="str">
        <f t="shared" si="10"/>
        <v>-</v>
      </c>
      <c r="H76" s="91" t="str">
        <f t="shared" si="8"/>
        <v>-</v>
      </c>
      <c r="I76" s="107" t="str">
        <f t="shared" si="8"/>
        <v>-</v>
      </c>
      <c r="J76" s="90" t="str">
        <f t="shared" si="11"/>
        <v>-</v>
      </c>
      <c r="K76" s="104"/>
      <c r="Z76" s="54" t="str">
        <f>IF(D9&gt;=2,"T3","")</f>
        <v>T3</v>
      </c>
      <c r="AA76" s="45">
        <f>AD42</f>
        <v>1100</v>
      </c>
      <c r="AB76" s="46" t="str">
        <f>IF(Z76="T3","d2","-")</f>
        <v>d2</v>
      </c>
      <c r="AC76" s="47">
        <f>AA42</f>
        <v>35</v>
      </c>
      <c r="AD76" s="56">
        <f>IF(AB76="-","-",IF(AND(AB76&lt;&gt;"d1",AB76&lt;&gt;"d2",AB76&lt;&gt;"d3"),"-",IF(AB76="d1",D18/AC75,IF(AB76="d2",D18/AC76,IF(AB76="d3",D18/AC77,"-")))))</f>
        <v>28.571428571428573</v>
      </c>
      <c r="AE76" s="49">
        <f>IF(AND(AD76&lt;&gt;"-",AA76&lt;&gt;"-"),AE69*AC76,"-")</f>
        <v>35000</v>
      </c>
      <c r="AF76" s="49">
        <f>IF(OR(AB76="-",Z76="-"),"-",IF(AND(AB76&lt;&gt;"d1",AB76&lt;&gt;"d2",AB76&lt;&gt;"d3"),0,IF(AB76="d1",AF43,IF(AB76="d2",AF42,AF41))))</f>
        <v>687.5</v>
      </c>
      <c r="AG76" s="57" t="s">
        <v>82</v>
      </c>
      <c r="AH76" s="50">
        <f>IF(OR($CG76="-",AG76="-"),"-",IF(AB76="d2",1,1/(1+PI()^2*AA76*AC76/($AD76*$AF76*(AA72)^2))))</f>
        <v>1</v>
      </c>
      <c r="AI76" s="58" t="s">
        <v>83</v>
      </c>
      <c r="AJ76" s="59">
        <f>IF(AI76="-","-",IF(AND(AI76="a2",AA69=5),(AH74*AA74*AE69*AC74*(AC74/2+AC75+AC76/2)-AH78*AA78*AE69*AC78*(AC76/2+AC77+AC78/2))/(AH74*AA74*AE69*AC74+AH76*AA76*AE69*AC76+AH78*AA78*AE69*AC78),IF(AND(AI76="a2",$CH$67=3),(AH74*AA74*AE69*AC74*(AC74/2+AC75+AC76/2))/(AH74*AA74*AE69*AC74+AH76*AA76*AE69*AC76),"-")))</f>
        <v>3.9042801500651569E-3</v>
      </c>
      <c r="AK76" s="51">
        <f>IF(AJ76="-","-",AE69*AC76^3/12)</f>
        <v>3572916.6666666665</v>
      </c>
      <c r="AL76" s="53">
        <f>IF(AJ76="-","-",AE69*AC76*AJ76^2)</f>
        <v>0.53351912215674813</v>
      </c>
      <c r="AM76" s="53">
        <f t="shared" si="12"/>
        <v>3930208920.2043676</v>
      </c>
    </row>
    <row r="77" spans="2:39" ht="20" x14ac:dyDescent="0.25">
      <c r="B77" s="94" t="s">
        <v>46</v>
      </c>
      <c r="C77" s="87">
        <f t="shared" ref="C77" si="13">AA78</f>
        <v>1100</v>
      </c>
      <c r="D77" s="88" t="str">
        <f t="shared" ref="D77" si="14">AI78</f>
        <v>a3</v>
      </c>
      <c r="E77" s="89">
        <f>AJ78</f>
        <v>70.003904280150067</v>
      </c>
      <c r="F77" s="88">
        <f t="shared" ref="F77" si="15">AK78</f>
        <v>3572916.6666666665</v>
      </c>
      <c r="G77" s="90">
        <f t="shared" ref="G77" si="16">AL78</f>
        <v>171519131.50625446</v>
      </c>
      <c r="H77" s="91" t="str">
        <f t="shared" ref="H77" si="17">AG78</f>
        <v>g3</v>
      </c>
      <c r="I77" s="107">
        <f t="shared" ref="I77" si="18">AH78</f>
        <v>0.99982417251504907</v>
      </c>
      <c r="J77" s="90">
        <f>AL78</f>
        <v>171519131.50625446</v>
      </c>
      <c r="K77" s="104"/>
      <c r="Z77" s="60" t="str">
        <f>IF(D9&gt;=4,"T4","")</f>
        <v>T4</v>
      </c>
      <c r="AA77" s="75">
        <f>AD43</f>
        <v>0</v>
      </c>
      <c r="AB77" s="65" t="str">
        <f>IF(Z77="T4","d2,3","-")</f>
        <v>d2,3</v>
      </c>
      <c r="AC77" s="76">
        <f>AA43</f>
        <v>35</v>
      </c>
      <c r="AD77" s="61" t="str">
        <f>IF(AB76="-","-",IF(AND(AB77&lt;&gt;"d1",AB77&lt;&gt;"d2",AB77&lt;&gt;"d3"),"-",IF(AB77="d1",D18/AC78,IF(AB77="d2",D18/AC77,IF(AB77="d3",D18/AC76,"-")))))</f>
        <v>-</v>
      </c>
      <c r="AE77" s="49" t="str">
        <f>IF(AND(AD77&lt;&gt;"-",AA77&lt;&gt;"-"),AE69*AC77,"-")</f>
        <v>-</v>
      </c>
      <c r="AF77" s="57">
        <f>IF(OR(AB77="-",Z77="-"),"-",IF(AND(AB77&lt;&gt;"d1",AB77&lt;&gt;"d2",AB77&lt;&gt;"d3"),0,IF(AB77="d1",AF44,IF(AB77="d2",AF43,AF42))))</f>
        <v>0</v>
      </c>
      <c r="AG77" s="62" t="s">
        <v>81</v>
      </c>
      <c r="AH77" s="50" t="str">
        <f>IF(OR($CG77="-",AG77="-"),"-",IF(AB77="d2",1,1/(1+PI()^2*AA77*AC77/($AD77*$AF77*(AA73)^2))))</f>
        <v>-</v>
      </c>
      <c r="AI77" s="63" t="s">
        <v>81</v>
      </c>
      <c r="AJ77" s="64" t="s">
        <v>81</v>
      </c>
      <c r="AK77" s="51" t="str">
        <f>IF(AJ77="-","-",AE69*AC77^3/12)</f>
        <v>-</v>
      </c>
      <c r="AL77" s="53" t="str">
        <f>IF(AJ77="-","-",AE69*AC77*AJ77^2)</f>
        <v>-</v>
      </c>
      <c r="AM77" s="53" t="str">
        <f>IF(AJ77="-","-",(AK77+AH77*AL77)*AA77)</f>
        <v>-</v>
      </c>
    </row>
    <row r="78" spans="2:39" ht="21" x14ac:dyDescent="0.3">
      <c r="B78" s="86"/>
      <c r="I78" s="96" t="s">
        <v>84</v>
      </c>
      <c r="J78" s="90">
        <f>AM79</f>
        <v>389055847694.81543</v>
      </c>
      <c r="Z78" s="54" t="str">
        <f>IF(D9&gt;=5,"T5","")</f>
        <v>T5</v>
      </c>
      <c r="AA78" s="77">
        <f t="shared" ref="AA78" si="19">AD44</f>
        <v>1100</v>
      </c>
      <c r="AB78" s="78" t="str">
        <f>IF(Z78="T5","d3","-")</f>
        <v>d3</v>
      </c>
      <c r="AC78" s="55">
        <f t="shared" ref="AC78" si="20">AA44</f>
        <v>35</v>
      </c>
      <c r="AD78" s="79">
        <f>IF(AB78="-","-",IF(AND(AB78&lt;&gt;"d1",AB78&lt;&gt;"d2",AB78&lt;&gt;"d3"),"-",IF(AB78="d1",D18/AC79,IF(AB78="d2",D18/AC78,IF(AB78="d3",D18/AC77,"-")))))</f>
        <v>28.571428571428573</v>
      </c>
      <c r="AE78" s="49">
        <f>IF(AND(AD78&lt;&gt;"-",AA78&lt;&gt;"-"),AE69*AC78,"-")</f>
        <v>35000</v>
      </c>
      <c r="AF78" s="49">
        <f t="shared" ref="AF78" si="21">IF(OR(AB78="-",Z78="-"),"-",IF(AND(AB78&lt;&gt;"d1",AB78&lt;&gt;"d2",AB78&lt;&gt;"d3"),0,IF(AB78="d1",AF45,IF(AB78="d2",AF44,AF43))))</f>
        <v>62.5</v>
      </c>
      <c r="AG78" s="80" t="s">
        <v>85</v>
      </c>
      <c r="AH78" s="50">
        <f>IF(OR($CG78="-",AG78="-"),"-",IF(AB78="d2",1,1/(1+PI()^2*AA78*AC78/($AD78*$AF78*(AA74)^2))))</f>
        <v>0.99982417251504907</v>
      </c>
      <c r="AI78" s="20" t="s">
        <v>86</v>
      </c>
      <c r="AJ78" s="77">
        <f>IF(OR(AA69=3,AA69&gt;5),"-",IF(AI78="a3",(AC76/2+AC77+AC78/2)+AJ76,"-"))</f>
        <v>70.003904280150067</v>
      </c>
      <c r="AK78" s="51">
        <f>IF(AJ78="-","-",AE69*AC78^3/12)</f>
        <v>3572916.6666666665</v>
      </c>
      <c r="AL78" s="53">
        <f>IF(AJ78="-","-",AE69*AC78*AJ78^2)</f>
        <v>171519131.50625446</v>
      </c>
      <c r="AM78" s="53">
        <f t="shared" si="12"/>
        <v>192568079434.94815</v>
      </c>
    </row>
    <row r="79" spans="2:39" ht="20" x14ac:dyDescent="0.25">
      <c r="B79" s="85"/>
      <c r="Z79" s="66"/>
      <c r="AA79" s="67"/>
      <c r="AB79" s="68"/>
      <c r="AC79" s="67"/>
      <c r="AD79" s="69"/>
      <c r="AE79" s="66"/>
      <c r="AF79" s="66"/>
      <c r="AG79" s="66"/>
      <c r="AH79" s="70"/>
      <c r="AI79" s="71"/>
      <c r="AJ79" s="67"/>
      <c r="AK79" s="71"/>
      <c r="AL79" s="72" t="s">
        <v>87</v>
      </c>
      <c r="AM79" s="81">
        <f>IF(AA69=1,(((MAX(AA40:AA46))^3)*$AE69*MAX(AD40:AD46)/12),IF(COUNTIF(AM74:AM78,"-")&gt;=11,"-",SUM(AM74:AM78)))</f>
        <v>389055847694.81543</v>
      </c>
    </row>
    <row r="80" spans="2:39" ht="20" x14ac:dyDescent="0.25">
      <c r="B80" s="109" t="s">
        <v>88</v>
      </c>
      <c r="C80" s="110"/>
      <c r="D80" s="110"/>
      <c r="E80" s="110"/>
      <c r="F80" s="110"/>
      <c r="G80" s="111"/>
      <c r="H80" s="112" t="s">
        <v>89</v>
      </c>
      <c r="I80" s="113"/>
      <c r="J80" s="113"/>
      <c r="K80" s="34"/>
      <c r="Z80" s="66"/>
      <c r="AA80" s="67"/>
      <c r="AB80" s="68"/>
      <c r="AC80" s="67"/>
      <c r="AD80" s="69"/>
      <c r="AE80" s="66"/>
      <c r="AF80" s="66"/>
      <c r="AG80" s="66"/>
      <c r="AH80" s="70"/>
      <c r="AI80" s="71"/>
      <c r="AJ80" s="67"/>
      <c r="AK80" s="71"/>
      <c r="AL80" s="72"/>
      <c r="AM80" s="72"/>
    </row>
    <row r="81" spans="2:39" ht="20" x14ac:dyDescent="0.25">
      <c r="B81" s="114" t="s">
        <v>90</v>
      </c>
      <c r="C81" s="115"/>
      <c r="D81" s="116" t="s">
        <v>56</v>
      </c>
      <c r="E81" s="116"/>
      <c r="F81" s="116"/>
      <c r="G81" s="117"/>
      <c r="H81" s="118">
        <f>AM79</f>
        <v>389055847694.81543</v>
      </c>
      <c r="I81" s="119"/>
      <c r="J81" s="119"/>
      <c r="K81" s="108" t="s">
        <v>37</v>
      </c>
      <c r="Z81" s="66"/>
      <c r="AA81" s="67"/>
      <c r="AB81" s="68"/>
      <c r="AC81" s="67"/>
      <c r="AD81" s="69"/>
      <c r="AE81" s="66"/>
      <c r="AF81" s="66"/>
      <c r="AG81" s="66"/>
      <c r="AH81" s="70"/>
      <c r="AI81" s="71"/>
      <c r="AJ81" s="67"/>
      <c r="AK81" s="71"/>
      <c r="AL81" s="72"/>
      <c r="AM81" s="72"/>
    </row>
    <row r="82" spans="2:39" ht="20" customHeight="1" x14ac:dyDescent="0.25">
      <c r="Z82" s="66"/>
      <c r="AA82" s="67"/>
      <c r="AB82" s="68"/>
      <c r="AC82" s="67"/>
      <c r="AD82" s="69"/>
      <c r="AE82" s="66"/>
      <c r="AF82" s="66"/>
      <c r="AG82" s="66"/>
      <c r="AH82" s="70"/>
      <c r="AI82" s="71"/>
      <c r="AJ82" s="67"/>
      <c r="AK82" s="71"/>
      <c r="AL82" s="72"/>
      <c r="AM82" s="72"/>
    </row>
    <row r="83" spans="2:39" ht="20" x14ac:dyDescent="0.25">
      <c r="Z83" s="66"/>
      <c r="AA83" s="67"/>
      <c r="AB83" s="68"/>
      <c r="AC83" s="67"/>
      <c r="AD83" s="69"/>
      <c r="AE83" s="66"/>
      <c r="AF83" s="66"/>
      <c r="AG83" s="66"/>
      <c r="AH83" s="70"/>
      <c r="AI83" s="71"/>
      <c r="AJ83" s="67"/>
      <c r="AK83" s="71"/>
      <c r="AL83" s="72"/>
      <c r="AM83" s="72"/>
    </row>
    <row r="84" spans="2:39" ht="20" x14ac:dyDescent="0.25">
      <c r="B84" s="99"/>
      <c r="C84" s="99"/>
      <c r="D84" s="99"/>
      <c r="E84" s="99"/>
      <c r="F84" s="99"/>
      <c r="G84" s="99"/>
      <c r="H84" s="99"/>
      <c r="I84" s="99"/>
      <c r="J84" s="99"/>
      <c r="Z84" s="66"/>
      <c r="AA84" s="67"/>
      <c r="AB84" s="68"/>
      <c r="AC84" s="67"/>
      <c r="AD84" s="69"/>
      <c r="AE84" s="66"/>
      <c r="AF84" s="66"/>
      <c r="AG84" s="66"/>
      <c r="AH84" s="70"/>
      <c r="AI84" s="71"/>
      <c r="AJ84" s="67"/>
      <c r="AK84" s="71"/>
      <c r="AL84" s="72"/>
      <c r="AM84" s="72"/>
    </row>
    <row r="85" spans="2:39" ht="20" x14ac:dyDescent="0.25">
      <c r="B85" s="97"/>
      <c r="C85" s="34"/>
      <c r="D85" s="34"/>
      <c r="E85" s="34"/>
      <c r="F85" s="34"/>
      <c r="G85" s="34"/>
      <c r="H85" s="34"/>
      <c r="I85" s="100"/>
      <c r="J85" s="101"/>
      <c r="K85" s="98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73"/>
      <c r="AM85" s="74"/>
    </row>
    <row r="86" spans="2:39" ht="15.75" customHeight="1" x14ac:dyDescent="0.2">
      <c r="B86" s="97"/>
      <c r="C86" s="34"/>
      <c r="D86" s="34"/>
      <c r="E86" s="34"/>
      <c r="F86" s="34"/>
      <c r="G86" s="34"/>
      <c r="H86" s="34"/>
      <c r="I86" s="100"/>
      <c r="J86" s="101"/>
      <c r="K86" s="98"/>
    </row>
    <row r="88" spans="2:39" ht="16" customHeight="1" x14ac:dyDescent="0.2"/>
    <row r="89" spans="2:39" ht="16" customHeight="1" x14ac:dyDescent="0.2"/>
  </sheetData>
  <mergeCells count="69">
    <mergeCell ref="Q6:T6"/>
    <mergeCell ref="C42:E42"/>
    <mergeCell ref="F42:G42"/>
    <mergeCell ref="H42:I42"/>
    <mergeCell ref="J42:K42"/>
    <mergeCell ref="C43:E43"/>
    <mergeCell ref="F43:G43"/>
    <mergeCell ref="H43:I43"/>
    <mergeCell ref="J43:K43"/>
    <mergeCell ref="C44:E44"/>
    <mergeCell ref="F44:G44"/>
    <mergeCell ref="H44:I44"/>
    <mergeCell ref="J44:K44"/>
    <mergeCell ref="C45:E45"/>
    <mergeCell ref="F45:G45"/>
    <mergeCell ref="H45:I45"/>
    <mergeCell ref="J45:K45"/>
    <mergeCell ref="C46:E46"/>
    <mergeCell ref="F46:G46"/>
    <mergeCell ref="H46:I46"/>
    <mergeCell ref="J46:K46"/>
    <mergeCell ref="C47:E47"/>
    <mergeCell ref="F47:G47"/>
    <mergeCell ref="H47:I47"/>
    <mergeCell ref="J47:K47"/>
    <mergeCell ref="C48:E48"/>
    <mergeCell ref="F48:G48"/>
    <mergeCell ref="H48:I48"/>
    <mergeCell ref="J48:K48"/>
    <mergeCell ref="AA50:AB50"/>
    <mergeCell ref="AF50:AG50"/>
    <mergeCell ref="AA51:AB51"/>
    <mergeCell ref="AC51:AD51"/>
    <mergeCell ref="AF51:AG51"/>
    <mergeCell ref="AA52:AB52"/>
    <mergeCell ref="AC52:AD52"/>
    <mergeCell ref="AF52:AG52"/>
    <mergeCell ref="AC50:AD50"/>
    <mergeCell ref="AF55:AG55"/>
    <mergeCell ref="AA56:AB56"/>
    <mergeCell ref="AC56:AD56"/>
    <mergeCell ref="AF56:AG56"/>
    <mergeCell ref="AA53:AB53"/>
    <mergeCell ref="AC53:AD53"/>
    <mergeCell ref="AF53:AG53"/>
    <mergeCell ref="AA54:AB54"/>
    <mergeCell ref="AC54:AD54"/>
    <mergeCell ref="AF54:AG54"/>
    <mergeCell ref="AF59:AG59"/>
    <mergeCell ref="J49:K49"/>
    <mergeCell ref="H49:I49"/>
    <mergeCell ref="B52:G52"/>
    <mergeCell ref="H52:J52"/>
    <mergeCell ref="B53:C53"/>
    <mergeCell ref="D53:G53"/>
    <mergeCell ref="H53:J53"/>
    <mergeCell ref="AA57:AB57"/>
    <mergeCell ref="AC57:AD57"/>
    <mergeCell ref="AF57:AG57"/>
    <mergeCell ref="AA58:AB58"/>
    <mergeCell ref="AC58:AD58"/>
    <mergeCell ref="AF58:AG58"/>
    <mergeCell ref="AA55:AB55"/>
    <mergeCell ref="AC55:AD55"/>
    <mergeCell ref="B80:G80"/>
    <mergeCell ref="H80:J80"/>
    <mergeCell ref="B81:C81"/>
    <mergeCell ref="D81:G81"/>
    <mergeCell ref="H81:J81"/>
  </mergeCells>
  <phoneticPr fontId="30" type="noConversion"/>
  <dataValidations count="2">
    <dataValidation type="list" allowBlank="1" showInputMessage="1" showErrorMessage="1" sqref="B9" xr:uid="{65A1EB10-2E30-1047-85EB-F2B58A0D2F35}">
      <formula1>$P$8:$P$9</formula1>
    </dataValidation>
    <dataValidation type="list" allowBlank="1" showInputMessage="1" showErrorMessage="1" sqref="B18" xr:uid="{ED0ECE9E-D6EC-E44E-9993-88DC3FCD58A9}">
      <formula1>$P$16:$P$17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Afianto</dc:creator>
  <cp:keywords/>
  <dc:description/>
  <cp:lastModifiedBy>Nur Afianto</cp:lastModifiedBy>
  <cp:revision/>
  <dcterms:created xsi:type="dcterms:W3CDTF">2026-06-18T04:16:19Z</dcterms:created>
  <dcterms:modified xsi:type="dcterms:W3CDTF">2026-06-24T08:16:13Z</dcterms:modified>
  <cp:category/>
  <cp:contentStatus/>
</cp:coreProperties>
</file>